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fbudullah/Documents/Work/University/Trimester Three/ORO/Assignment/"/>
    </mc:Choice>
  </mc:AlternateContent>
  <xr:revisionPtr revIDLastSave="0" documentId="13_ncr:1_{1AA47997-1A84-7748-89A7-C4DF49AEEE1C}" xr6:coauthVersionLast="47" xr6:coauthVersionMax="47" xr10:uidLastSave="{00000000-0000-0000-0000-000000000000}"/>
  <bookViews>
    <workbookView xWindow="0" yWindow="740" windowWidth="30240" windowHeight="18900" activeTab="6" xr2:uid="{CCABFF04-30AB-E54B-9401-B23B61E25C83}"/>
  </bookViews>
  <sheets>
    <sheet name="A1(a)" sheetId="1" r:id="rId1"/>
    <sheet name="A1(b)" sheetId="2" r:id="rId2"/>
    <sheet name="A3(a)" sheetId="5" r:id="rId3"/>
    <sheet name="B1(a1)" sheetId="6" r:id="rId4"/>
    <sheet name="B1(a2)" sheetId="7" r:id="rId5"/>
    <sheet name="B3" sheetId="8" r:id="rId6"/>
    <sheet name="Sheet7" sheetId="9" r:id="rId7"/>
  </sheets>
  <definedNames>
    <definedName name="solver_adj" localSheetId="0" hidden="1">'A1(a)'!$C$15:$F$22</definedName>
    <definedName name="solver_adj" localSheetId="1" hidden="1">'A1(b)'!$B$17:$E$17</definedName>
    <definedName name="solver_adj" localSheetId="3" hidden="1">'B1(a1)'!$B$16:$P$16</definedName>
    <definedName name="solver_adj" localSheetId="4" hidden="1">'B1(a2)'!$B$16:$O$16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drv" localSheetId="4" hidden="1">1</definedName>
    <definedName name="solver_eng" localSheetId="0" hidden="1">2</definedName>
    <definedName name="solver_eng" localSheetId="1" hidden="1">1</definedName>
    <definedName name="solver_eng" localSheetId="3" hidden="1">2</definedName>
    <definedName name="solver_eng" localSheetId="4" hidden="1">2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4" hidden="1">2147483647</definedName>
    <definedName name="solver_lhs1" localSheetId="0" hidden="1">'A1(a)'!$C$15:$F$22</definedName>
    <definedName name="solver_lhs1" localSheetId="1" hidden="1">'A1(b)'!$I$16</definedName>
    <definedName name="solver_lhs1" localSheetId="3" hidden="1">'B1(a1)'!$B$16</definedName>
    <definedName name="solver_lhs1" localSheetId="4" hidden="1">'B1(a2)'!$B$16</definedName>
    <definedName name="solver_lhs2" localSheetId="0" hidden="1">'A1(a)'!$C$23:$F$23</definedName>
    <definedName name="solver_lhs2" localSheetId="1" hidden="1">'A1(b)'!$I$17</definedName>
    <definedName name="solver_lhs2" localSheetId="3" hidden="1">'B1(a1)'!$B$21</definedName>
    <definedName name="solver_lhs2" localSheetId="4" hidden="1">'B1(a2)'!$B$21</definedName>
    <definedName name="solver_lhs3" localSheetId="0" hidden="1">'A1(a)'!$C$25:$F$25</definedName>
    <definedName name="solver_lhs3" localSheetId="3" hidden="1">'B1(a1)'!$B$22:$B$23</definedName>
    <definedName name="solver_lhs3" localSheetId="4" hidden="1">'B1(a2)'!$B$22:$B$23</definedName>
    <definedName name="solver_lhs4" localSheetId="0" hidden="1">'A1(a)'!$C$30</definedName>
    <definedName name="solver_lhs4" localSheetId="3" hidden="1">'B1(a1)'!$F$16</definedName>
    <definedName name="solver_lhs4" localSheetId="4" hidden="1">'B1(a2)'!$F$16</definedName>
    <definedName name="solver_lhs5" localSheetId="0" hidden="1">'A1(a)'!$G$15:$G$22</definedName>
    <definedName name="solver_lhs5" localSheetId="3" hidden="1">'B1(a1)'!$Q$3:$Q$14</definedName>
    <definedName name="solver_lhs5" localSheetId="4" hidden="1">'B1(a2)'!$P$3:$P$14</definedName>
    <definedName name="solver_lhs6" localSheetId="3" hidden="1">'B1(a1)'!$S$3:$S$14</definedName>
    <definedName name="solver_lhs6" localSheetId="4" hidden="1">'B1(a2)'!$R$3:$R$14</definedName>
    <definedName name="solver_lin" localSheetId="0" hidden="1">1</definedName>
    <definedName name="solver_lin" localSheetId="1" hidden="1">2</definedName>
    <definedName name="solver_lin" localSheetId="3" hidden="1">1</definedName>
    <definedName name="solver_lin" localSheetId="4" hidden="1">1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4" hidden="1">2147483647</definedName>
    <definedName name="solver_num" localSheetId="0" hidden="1">5</definedName>
    <definedName name="solver_num" localSheetId="1" hidden="1">2</definedName>
    <definedName name="solver_num" localSheetId="3" hidden="1">6</definedName>
    <definedName name="solver_num" localSheetId="4" hidden="1">6</definedName>
    <definedName name="solver_opt" localSheetId="0" hidden="1">'A1(a)'!$C$30</definedName>
    <definedName name="solver_opt" localSheetId="1" hidden="1">'A1(b)'!$B$20</definedName>
    <definedName name="solver_opt" localSheetId="3" hidden="1">'B1(a1)'!$B$18</definedName>
    <definedName name="solver_opt" localSheetId="4" hidden="1">'B1(a2)'!$B$18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rbv" localSheetId="0" hidden="1">2</definedName>
    <definedName name="solver_rbv" localSheetId="1" hidden="1">2</definedName>
    <definedName name="solver_rbv" localSheetId="3" hidden="1">1</definedName>
    <definedName name="solver_rbv" localSheetId="4" hidden="1">1</definedName>
    <definedName name="solver_rel1" localSheetId="0" hidden="1">5</definedName>
    <definedName name="solver_rel1" localSheetId="1" hidden="1">2</definedName>
    <definedName name="solver_rel1" localSheetId="3" hidden="1">3</definedName>
    <definedName name="solver_rel1" localSheetId="4" hidden="1">3</definedName>
    <definedName name="solver_rel2" localSheetId="0" hidden="1">1</definedName>
    <definedName name="solver_rel2" localSheetId="1" hidden="1">3</definedName>
    <definedName name="solver_rel2" localSheetId="3" hidden="1">3</definedName>
    <definedName name="solver_rel2" localSheetId="4" hidden="1">3</definedName>
    <definedName name="solver_rel3" localSheetId="0" hidden="1">1</definedName>
    <definedName name="solver_rel3" localSheetId="3" hidden="1">1</definedName>
    <definedName name="solver_rel3" localSheetId="4" hidden="1">1</definedName>
    <definedName name="solver_rel4" localSheetId="0" hidden="1">1</definedName>
    <definedName name="solver_rel4" localSheetId="3" hidden="1">3</definedName>
    <definedName name="solver_rel4" localSheetId="4" hidden="1">3</definedName>
    <definedName name="solver_rel5" localSheetId="0" hidden="1">2</definedName>
    <definedName name="solver_rel5" localSheetId="3" hidden="1">3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hs1" localSheetId="0" hidden="1">"binary"</definedName>
    <definedName name="solver_rhs1" localSheetId="1" hidden="1">1</definedName>
    <definedName name="solver_rhs1" localSheetId="3" hidden="1">1</definedName>
    <definedName name="solver_rhs1" localSheetId="4" hidden="1">2</definedName>
    <definedName name="solver_rhs2" localSheetId="0" hidden="1">2</definedName>
    <definedName name="solver_rhs2" localSheetId="1" hidden="1">'A1(b)'!$J$17</definedName>
    <definedName name="solver_rhs2" localSheetId="3" hidden="1">'B1(a1)'!$D$21</definedName>
    <definedName name="solver_rhs2" localSheetId="4" hidden="1">'B1(a2)'!$D$21</definedName>
    <definedName name="solver_rhs3" localSheetId="0" hidden="1">'A1(a)'!$C$26:$F$26</definedName>
    <definedName name="solver_rhs3" localSheetId="3" hidden="1">'B1(a1)'!$D$22:$D$23</definedName>
    <definedName name="solver_rhs3" localSheetId="4" hidden="1">'B1(a2)'!$D$22:$D$23</definedName>
    <definedName name="solver_rhs4" localSheetId="0" hidden="1">14</definedName>
    <definedName name="solver_rhs4" localSheetId="3" hidden="1">1</definedName>
    <definedName name="solver_rhs4" localSheetId="4" hidden="1">2</definedName>
    <definedName name="solver_rhs5" localSheetId="0" hidden="1">1</definedName>
    <definedName name="solver_rhs5" localSheetId="3" hidden="1">2</definedName>
    <definedName name="solver_rhs5" localSheetId="4" hidden="1">2</definedName>
    <definedName name="solver_rhs6" localSheetId="3" hidden="1">'B1(a1)'!$U$3:$U$14</definedName>
    <definedName name="solver_rhs6" localSheetId="4" hidden="1">'B1(a2)'!$T$3:$T$14</definedName>
    <definedName name="solver_rlx" localSheetId="0" hidden="1">2</definedName>
    <definedName name="solver_rlx" localSheetId="1" hidden="1">1</definedName>
    <definedName name="solver_rlx" localSheetId="3" hidden="1">1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2</definedName>
    <definedName name="solver_scl" localSheetId="3" hidden="1">2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1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er" localSheetId="0" hidden="1">2</definedName>
    <definedName name="solver_ver" localSheetId="1" hidden="1">2</definedName>
    <definedName name="solver_ver" localSheetId="3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H4" i="9"/>
  <c r="H5" i="9"/>
  <c r="H6" i="9"/>
  <c r="P3" i="7" l="1"/>
  <c r="K5" i="2" l="1"/>
  <c r="B18" i="6" l="1"/>
  <c r="R3" i="6"/>
  <c r="B18" i="7"/>
  <c r="F3" i="8" l="1"/>
  <c r="J5" i="8" s="1"/>
  <c r="C7" i="9" s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2" i="8"/>
  <c r="E4" i="8"/>
  <c r="J3" i="8" s="1"/>
  <c r="B2" i="9" s="1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" i="8"/>
  <c r="Q4" i="7"/>
  <c r="Q5" i="7"/>
  <c r="Q6" i="7"/>
  <c r="Q7" i="7"/>
  <c r="Q8" i="7"/>
  <c r="Q9" i="7"/>
  <c r="Q10" i="7"/>
  <c r="Q11" i="7"/>
  <c r="Q12" i="7"/>
  <c r="Q13" i="7"/>
  <c r="Q14" i="7"/>
  <c r="Q3" i="7"/>
  <c r="P14" i="7"/>
  <c r="P13" i="7"/>
  <c r="P12" i="7"/>
  <c r="P11" i="7"/>
  <c r="P10" i="7"/>
  <c r="P9" i="7"/>
  <c r="P8" i="7"/>
  <c r="P7" i="7"/>
  <c r="P6" i="7"/>
  <c r="P5" i="7"/>
  <c r="P4" i="7"/>
  <c r="B23" i="7"/>
  <c r="B22" i="7"/>
  <c r="B21" i="7"/>
  <c r="R14" i="7"/>
  <c r="R13" i="7"/>
  <c r="R12" i="7"/>
  <c r="R11" i="7"/>
  <c r="R10" i="7"/>
  <c r="R9" i="7"/>
  <c r="R8" i="7"/>
  <c r="R7" i="7"/>
  <c r="R6" i="7"/>
  <c r="R5" i="7"/>
  <c r="R4" i="7"/>
  <c r="R3" i="7"/>
  <c r="R4" i="6"/>
  <c r="R5" i="6"/>
  <c r="R6" i="6"/>
  <c r="R7" i="6"/>
  <c r="R8" i="6"/>
  <c r="R9" i="6"/>
  <c r="R10" i="6"/>
  <c r="R11" i="6"/>
  <c r="R12" i="6"/>
  <c r="R13" i="6"/>
  <c r="R14" i="6"/>
  <c r="Q4" i="6"/>
  <c r="Q5" i="6"/>
  <c r="Q6" i="6"/>
  <c r="Q7" i="6"/>
  <c r="Q8" i="6"/>
  <c r="Q9" i="6"/>
  <c r="Q10" i="6"/>
  <c r="Q11" i="6"/>
  <c r="Q12" i="6"/>
  <c r="Q13" i="6"/>
  <c r="Q14" i="6"/>
  <c r="Q3" i="6"/>
  <c r="B23" i="6"/>
  <c r="B22" i="6"/>
  <c r="B21" i="6"/>
  <c r="S4" i="6"/>
  <c r="S5" i="6"/>
  <c r="S6" i="6"/>
  <c r="S7" i="6"/>
  <c r="S8" i="6"/>
  <c r="S9" i="6"/>
  <c r="S10" i="6"/>
  <c r="S11" i="6"/>
  <c r="S12" i="6"/>
  <c r="S13" i="6"/>
  <c r="S14" i="6"/>
  <c r="S3" i="6"/>
  <c r="H22" i="9" l="1"/>
  <c r="H29" i="9"/>
  <c r="H16" i="9"/>
  <c r="H20" i="9"/>
  <c r="H12" i="9"/>
  <c r="H10" i="9"/>
  <c r="H11" i="9"/>
  <c r="H23" i="9"/>
  <c r="H3" i="9"/>
  <c r="H17" i="9"/>
  <c r="J4" i="8"/>
  <c r="B3" i="9" s="1"/>
  <c r="H7" i="9" s="1"/>
  <c r="J6" i="8"/>
  <c r="C8" i="9" s="1"/>
  <c r="K18" i="9" s="1"/>
  <c r="K5" i="9" l="1"/>
  <c r="K29" i="9"/>
  <c r="K17" i="9"/>
  <c r="K11" i="9"/>
  <c r="K22" i="9"/>
  <c r="K12" i="9"/>
  <c r="K10" i="9"/>
  <c r="K4" i="9"/>
  <c r="K20" i="9"/>
  <c r="H13" i="9"/>
  <c r="H8" i="9"/>
  <c r="K28" i="9"/>
  <c r="K16" i="9"/>
  <c r="H24" i="9"/>
  <c r="H26" i="9"/>
  <c r="K21" i="9"/>
  <c r="K19" i="9"/>
  <c r="H14" i="9"/>
  <c r="K13" i="9"/>
  <c r="K26" i="9"/>
  <c r="H31" i="9"/>
  <c r="K6" i="9"/>
  <c r="K8" i="9"/>
  <c r="H19" i="9"/>
  <c r="H30" i="9"/>
  <c r="K24" i="9"/>
  <c r="K9" i="9"/>
  <c r="H15" i="9"/>
  <c r="H18" i="9"/>
  <c r="H28" i="9"/>
  <c r="K2" i="9"/>
  <c r="K23" i="9"/>
  <c r="K25" i="9"/>
  <c r="K3" i="9"/>
  <c r="H25" i="9"/>
  <c r="H27" i="9"/>
  <c r="H9" i="9"/>
  <c r="K31" i="9"/>
  <c r="K30" i="9"/>
  <c r="K27" i="9"/>
  <c r="K15" i="9"/>
  <c r="K14" i="9"/>
  <c r="K7" i="9"/>
  <c r="H21" i="9"/>
  <c r="D12" i="9" l="1"/>
  <c r="I2" i="9"/>
  <c r="D14" i="9"/>
  <c r="J2" i="9" l="1"/>
  <c r="L2" i="9" s="1"/>
  <c r="I3" i="9"/>
  <c r="N2" i="9" l="1"/>
  <c r="I4" i="9"/>
  <c r="J3" i="9"/>
  <c r="M3" i="9" l="1"/>
  <c r="L3" i="9"/>
  <c r="I5" i="9"/>
  <c r="N3" i="9" l="1"/>
  <c r="J4" i="9"/>
  <c r="L4" i="9" s="1"/>
  <c r="I6" i="9"/>
  <c r="M4" i="9" l="1"/>
  <c r="N4" i="9"/>
  <c r="J5" i="9"/>
  <c r="M5" i="9" s="1"/>
  <c r="I7" i="9"/>
  <c r="I8" i="9" s="1"/>
  <c r="L5" i="9" l="1"/>
  <c r="N5" i="9" s="1"/>
  <c r="I9" i="9"/>
  <c r="I10" i="9" s="1"/>
  <c r="I16" i="2"/>
  <c r="I12" i="2"/>
  <c r="I11" i="2"/>
  <c r="I10" i="2"/>
  <c r="I9" i="2"/>
  <c r="I8" i="2"/>
  <c r="I7" i="2"/>
  <c r="H12" i="2"/>
  <c r="H11" i="2"/>
  <c r="H10" i="2"/>
  <c r="J4" i="2"/>
  <c r="I3" i="2"/>
  <c r="H2" i="2"/>
  <c r="C13" i="2"/>
  <c r="D13" i="2"/>
  <c r="E13" i="2"/>
  <c r="B13" i="2"/>
  <c r="J6" i="9" l="1"/>
  <c r="M6" i="9" s="1"/>
  <c r="I11" i="9"/>
  <c r="B20" i="2"/>
  <c r="I17" i="2"/>
  <c r="L6" i="9" l="1"/>
  <c r="J7" i="9" s="1"/>
  <c r="J21" i="2"/>
  <c r="I21" i="2"/>
  <c r="I12" i="9"/>
  <c r="G16" i="1"/>
  <c r="G17" i="1"/>
  <c r="G18" i="1"/>
  <c r="G19" i="1"/>
  <c r="G20" i="1"/>
  <c r="G21" i="1"/>
  <c r="G22" i="1"/>
  <c r="G15" i="1"/>
  <c r="D23" i="1"/>
  <c r="E23" i="1"/>
  <c r="F23" i="1"/>
  <c r="C23" i="1"/>
  <c r="N6" i="9" l="1"/>
  <c r="I13" i="9"/>
  <c r="M7" i="9"/>
  <c r="L7" i="9"/>
  <c r="C30" i="1"/>
  <c r="E25" i="1"/>
  <c r="F25" i="1"/>
  <c r="C25" i="1"/>
  <c r="D25" i="1"/>
  <c r="N7" i="9" l="1"/>
  <c r="J8" i="9"/>
  <c r="I14" i="9"/>
  <c r="I15" i="9" l="1"/>
  <c r="M8" i="9"/>
  <c r="L8" i="9"/>
  <c r="J9" i="9" l="1"/>
  <c r="N8" i="9"/>
  <c r="I16" i="9"/>
  <c r="I17" i="9" l="1"/>
  <c r="L9" i="9"/>
  <c r="M9" i="9"/>
  <c r="N9" i="9" l="1"/>
  <c r="J10" i="9"/>
  <c r="I18" i="9"/>
  <c r="L10" i="9" l="1"/>
  <c r="M10" i="9"/>
  <c r="I19" i="9"/>
  <c r="I20" i="9" l="1"/>
  <c r="N10" i="9"/>
  <c r="J11" i="9"/>
  <c r="M11" i="9" l="1"/>
  <c r="L11" i="9"/>
  <c r="I21" i="9"/>
  <c r="I22" i="9" l="1"/>
  <c r="N11" i="9"/>
  <c r="J12" i="9"/>
  <c r="M12" i="9" l="1"/>
  <c r="L12" i="9"/>
  <c r="I23" i="9"/>
  <c r="I24" i="9" l="1"/>
  <c r="N12" i="9"/>
  <c r="J13" i="9"/>
  <c r="L13" i="9" l="1"/>
  <c r="M13" i="9"/>
  <c r="I25" i="9"/>
  <c r="N13" i="9" l="1"/>
  <c r="J14" i="9"/>
  <c r="I26" i="9"/>
  <c r="I27" i="9" l="1"/>
  <c r="L14" i="9"/>
  <c r="M14" i="9"/>
  <c r="N14" i="9" l="1"/>
  <c r="J15" i="9"/>
  <c r="I28" i="9"/>
  <c r="I29" i="9" l="1"/>
  <c r="M15" i="9"/>
  <c r="L15" i="9"/>
  <c r="N15" i="9" l="1"/>
  <c r="J16" i="9"/>
  <c r="I30" i="9"/>
  <c r="M16" i="9" l="1"/>
  <c r="L16" i="9"/>
  <c r="I31" i="9"/>
  <c r="N16" i="9" l="1"/>
  <c r="J17" i="9"/>
  <c r="M17" i="9" l="1"/>
  <c r="L17" i="9"/>
  <c r="N17" i="9" l="1"/>
  <c r="J18" i="9"/>
  <c r="M18" i="9" l="1"/>
  <c r="L18" i="9"/>
  <c r="N18" i="9" l="1"/>
  <c r="J19" i="9"/>
  <c r="M19" i="9" l="1"/>
  <c r="L19" i="9"/>
  <c r="N19" i="9" l="1"/>
  <c r="J20" i="9"/>
  <c r="M20" i="9" l="1"/>
  <c r="L20" i="9"/>
  <c r="N20" i="9" l="1"/>
  <c r="J21" i="9"/>
  <c r="M21" i="9" l="1"/>
  <c r="L21" i="9"/>
  <c r="N21" i="9" l="1"/>
  <c r="J22" i="9"/>
  <c r="M22" i="9" l="1"/>
  <c r="L22" i="9"/>
  <c r="N22" i="9" l="1"/>
  <c r="J23" i="9"/>
  <c r="M23" i="9" l="1"/>
  <c r="L23" i="9"/>
  <c r="N23" i="9" l="1"/>
  <c r="J24" i="9"/>
  <c r="M24" i="9" l="1"/>
  <c r="L24" i="9"/>
  <c r="N24" i="9" l="1"/>
  <c r="J25" i="9"/>
  <c r="M25" i="9" l="1"/>
  <c r="L25" i="9"/>
  <c r="N25" i="9" l="1"/>
  <c r="J26" i="9"/>
  <c r="L26" i="9" l="1"/>
  <c r="M26" i="9"/>
  <c r="N26" i="9" l="1"/>
  <c r="J27" i="9"/>
  <c r="M27" i="9" l="1"/>
  <c r="L27" i="9"/>
  <c r="N27" i="9" l="1"/>
  <c r="J28" i="9"/>
  <c r="L28" i="9" l="1"/>
  <c r="M28" i="9"/>
  <c r="N28" i="9" l="1"/>
  <c r="J29" i="9"/>
  <c r="M29" i="9" l="1"/>
  <c r="L29" i="9"/>
  <c r="N29" i="9" l="1"/>
  <c r="J30" i="9"/>
  <c r="L30" i="9" l="1"/>
  <c r="M30" i="9"/>
  <c r="N30" i="9" l="1"/>
  <c r="J31" i="9"/>
  <c r="M31" i="9" l="1"/>
  <c r="D15" i="9" s="1"/>
  <c r="L31" i="9"/>
  <c r="N31" i="9" l="1"/>
  <c r="D16" i="9" s="1"/>
  <c r="D13" i="9"/>
  <c r="D11" i="9"/>
</calcChain>
</file>

<file path=xl/sharedStrings.xml><?xml version="1.0" encoding="utf-8"?>
<sst xmlns="http://schemas.openxmlformats.org/spreadsheetml/2006/main" count="260" uniqueCount="154">
  <si>
    <t>Task</t>
  </si>
  <si>
    <t>Yousouf</t>
  </si>
  <si>
    <t>Jared</t>
  </si>
  <si>
    <t>Zuhayr</t>
  </si>
  <si>
    <t>Sacha</t>
  </si>
  <si>
    <t>T1</t>
  </si>
  <si>
    <t>T2</t>
  </si>
  <si>
    <t>T3</t>
  </si>
  <si>
    <t>T4</t>
  </si>
  <si>
    <t>T5</t>
  </si>
  <si>
    <t>T6</t>
  </si>
  <si>
    <t>T7</t>
  </si>
  <si>
    <t>T8</t>
  </si>
  <si>
    <t>Task Name</t>
  </si>
  <si>
    <t>Write social media posts highlighting menu items</t>
  </si>
  <si>
    <t>Design Instagram and Facebook promotional graphics</t>
  </si>
  <si>
    <t>Film a restaurant tour / promotional video</t>
  </si>
  <si>
    <t>Edit and produce the promotional video</t>
  </si>
  <si>
    <t>Write a blog post about the chef and restaurant story</t>
  </si>
  <si>
    <t>Create an email newsletter for the marketing campaign</t>
  </si>
  <si>
    <t>Photograph menu items for digital platforms</t>
  </si>
  <si>
    <t>Write online food advertisement copy (Google / blogs)</t>
  </si>
  <si>
    <t>Staff</t>
  </si>
  <si>
    <t>Objective Function</t>
  </si>
  <si>
    <t>Total Time</t>
  </si>
  <si>
    <t>Number of Tasks Assigned</t>
  </si>
  <si>
    <t>Total Time (Days)</t>
  </si>
  <si>
    <t>Staff Assigned</t>
  </si>
  <si>
    <t>Required Staff</t>
  </si>
  <si>
    <t>Annual Return for Each Menu Items (in %) </t>
  </si>
  <si>
    <t> Year </t>
  </si>
  <si>
    <t>Item A </t>
  </si>
  <si>
    <t>Item B </t>
  </si>
  <si>
    <t>Item C </t>
  </si>
  <si>
    <t>Item D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</si>
  <si>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</si>
  <si>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</si>
  <si>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</si>
  <si>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</si>
  <si>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</si>
  <si>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</si>
  <si>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</si>
  <si>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</si>
  <si>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</si>
  <si>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</si>
  <si>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Expected Return</t>
  </si>
  <si>
    <t>Solution</t>
  </si>
  <si>
    <t>A,B</t>
  </si>
  <si>
    <t>A,C</t>
  </si>
  <si>
    <t>A,D</t>
  </si>
  <si>
    <t>B,C</t>
  </si>
  <si>
    <t>B,D</t>
  </si>
  <si>
    <t>C,D</t>
  </si>
  <si>
    <t>A</t>
  </si>
  <si>
    <t xml:space="preserve">B </t>
  </si>
  <si>
    <t>C</t>
  </si>
  <si>
    <t>D</t>
  </si>
  <si>
    <t>Investment Weights (Decision Variables)</t>
  </si>
  <si>
    <t>Optimal Allocation</t>
  </si>
  <si>
    <t>Portfolio Risk</t>
  </si>
  <si>
    <t>Model Constraints</t>
  </si>
  <si>
    <t>Total Weight</t>
  </si>
  <si>
    <t>Minimum Expected Return</t>
  </si>
  <si>
    <t>Activity ID</t>
  </si>
  <si>
    <t>Activity Description</t>
  </si>
  <si>
    <t>Immediate Predecessor(s)</t>
  </si>
  <si>
    <t>Optimistic (a)</t>
  </si>
  <si>
    <t>Most Probable (m)</t>
  </si>
  <si>
    <t>Pessimistic (b)</t>
  </si>
  <si>
    <t>Finalise seasonal menu</t>
  </si>
  <si>
    <t>–</t>
  </si>
  <si>
    <t>B</t>
  </si>
  <si>
    <t>Order ingredients</t>
  </si>
  <si>
    <t>Design marketing materials</t>
  </si>
  <si>
    <t>Promote event</t>
  </si>
  <si>
    <t>E</t>
  </si>
  <si>
    <t>Arrange tables and decorations</t>
  </si>
  <si>
    <t>F</t>
  </si>
  <si>
    <t>Final setup and rehearsal</t>
  </si>
  <si>
    <t>D, E</t>
  </si>
  <si>
    <t>FT1</t>
  </si>
  <si>
    <t>FT2</t>
  </si>
  <si>
    <t>FT3</t>
  </si>
  <si>
    <t>PT1</t>
  </si>
  <si>
    <t>PT2</t>
  </si>
  <si>
    <t>PT3</t>
  </si>
  <si>
    <t>PT4</t>
  </si>
  <si>
    <t>PT5</t>
  </si>
  <si>
    <t>PT6</t>
  </si>
  <si>
    <t>PT7</t>
  </si>
  <si>
    <t>10-11am</t>
  </si>
  <si>
    <t>11-12am</t>
  </si>
  <si>
    <t>12-1pm</t>
  </si>
  <si>
    <t>1-2pm</t>
  </si>
  <si>
    <t>2-3pm</t>
  </si>
  <si>
    <t>3-4pm</t>
  </si>
  <si>
    <t>4-5pm</t>
  </si>
  <si>
    <t>5-6pm</t>
  </si>
  <si>
    <t>6-7pm</t>
  </si>
  <si>
    <t>Time</t>
  </si>
  <si>
    <t>7-8pm</t>
  </si>
  <si>
    <t>9-10pm</t>
  </si>
  <si>
    <t>8-9pm</t>
  </si>
  <si>
    <t>FT4</t>
  </si>
  <si>
    <t>FT5</t>
  </si>
  <si>
    <t>PT8</t>
  </si>
  <si>
    <t>PT9</t>
  </si>
  <si>
    <t>PT10</t>
  </si>
  <si>
    <t>3 Hour Shift</t>
  </si>
  <si>
    <t>Additional Requirements</t>
  </si>
  <si>
    <t>Cost</t>
  </si>
  <si>
    <t>Total of FT</t>
  </si>
  <si>
    <t>Total of PT</t>
  </si>
  <si>
    <t xml:space="preserve">≤ </t>
  </si>
  <si>
    <t xml:space="preserve">≥ </t>
  </si>
  <si>
    <t>Total Staff Assigned</t>
  </si>
  <si>
    <t>Total Required Staff</t>
  </si>
  <si>
    <t>FT Staff</t>
  </si>
  <si>
    <t>PT Staff</t>
  </si>
  <si>
    <t>4 Hour Shift</t>
  </si>
  <si>
    <t>Customer ID</t>
  </si>
  <si>
    <t>Arrival Time</t>
  </si>
  <si>
    <t>Service Start</t>
  </si>
  <si>
    <t>Service End</t>
  </si>
  <si>
    <t>Interarrival Time (min)</t>
  </si>
  <si>
    <t>Minimum</t>
  </si>
  <si>
    <t>Maximum</t>
  </si>
  <si>
    <t>Service Time (min)</t>
  </si>
  <si>
    <t>Mean</t>
  </si>
  <si>
    <t>Standard Deviation</t>
  </si>
  <si>
    <t xml:space="preserve">Customer </t>
  </si>
  <si>
    <t xml:space="preserve">Interarrival Time </t>
  </si>
  <si>
    <t>Service Time</t>
  </si>
  <si>
    <t xml:space="preserve">Service Ends </t>
  </si>
  <si>
    <t>WaitingTime</t>
  </si>
  <si>
    <t>Interarrival Time (Uniform Distribution)</t>
  </si>
  <si>
    <t xml:space="preserve">Smallest </t>
  </si>
  <si>
    <t xml:space="preserve">Largest </t>
  </si>
  <si>
    <t>Service Time (Normal Distribution)</t>
  </si>
  <si>
    <t xml:space="preserve">Mean </t>
  </si>
  <si>
    <t xml:space="preserve">Standard Deviation </t>
  </si>
  <si>
    <t>start time</t>
  </si>
  <si>
    <t>Average Waiting Time</t>
  </si>
  <si>
    <t>Average Service Time</t>
  </si>
  <si>
    <t>Probability of Waiting</t>
  </si>
  <si>
    <t>Summary</t>
  </si>
  <si>
    <t>Average Interarrival time</t>
  </si>
  <si>
    <t>Average Waiting Time for those Who Wait</t>
  </si>
  <si>
    <t>Average Time in  System</t>
  </si>
  <si>
    <t>Maximum Tasks Allowed</t>
  </si>
  <si>
    <t>Maximum Days Allowed</t>
  </si>
  <si>
    <t>Lower</t>
  </si>
  <si>
    <t>Upper</t>
  </si>
  <si>
    <t>95%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</si>
</sst>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m]:ss"/>
    <numFmt numFmtId="166" formatCode="h:mm;@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1" fillId="5" borderId="0" xfId="0" applyFont="1" applyFill="1"/>
    <xf numFmtId="0" fontId="1" fillId="5" borderId="4" xfId="0" applyFont="1" applyFill="1" applyBorder="1"/>
    <xf numFmtId="0" fontId="1" fillId="4" borderId="1" xfId="0" applyFont="1" applyFill="1" applyBorder="1"/>
    <xf numFmtId="0" fontId="0" fillId="2" borderId="1" xfId="0" applyFill="1" applyBorder="1" applyAlignment="1">
      <alignment horizontal="right"/>
    </xf>
    <xf numFmtId="0" fontId="0" fillId="0" borderId="5" xfId="0" applyBorder="1"/>
    <xf numFmtId="0" fontId="3" fillId="0" borderId="6" xfId="0" applyFont="1" applyBorder="1" applyAlignment="1">
      <alignment horizontal="center"/>
    </xf>
    <xf numFmtId="0" fontId="0" fillId="0" borderId="1" xfId="0" applyBorder="1" applyAlignment="1">
      <alignment horizontal="left"/>
    </xf>
    <xf numFmtId="2" fontId="0" fillId="6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5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/>
    <xf numFmtId="165" fontId="0" fillId="0" borderId="1" xfId="0" applyNumberFormat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5" fontId="0" fillId="5" borderId="1" xfId="0" applyNumberFormat="1" applyFill="1" applyBorder="1"/>
    <xf numFmtId="0" fontId="6" fillId="0" borderId="0" xfId="0" applyFont="1"/>
    <xf numFmtId="45" fontId="0" fillId="0" borderId="1" xfId="0" applyNumberFormat="1" applyBorder="1"/>
    <xf numFmtId="21" fontId="0" fillId="0" borderId="1" xfId="0" applyNumberFormat="1" applyBorder="1"/>
    <xf numFmtId="166" fontId="0" fillId="0" borderId="0" xfId="0" applyNumberFormat="1"/>
    <xf numFmtId="20" fontId="0" fillId="0" borderId="1" xfId="0" applyNumberFormat="1" applyBorder="1"/>
    <xf numFmtId="2" fontId="0" fillId="0" borderId="1" xfId="0" applyNumberFormat="1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10" xfId="0" applyFill="1" applyBorder="1"/>
    <xf numFmtId="0" fontId="1" fillId="3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6" fillId="0" borderId="1" xfId="0" applyFont="1" applyBorder="1" applyAlignment="1">
      <alignment horizontal="center"/>
    </xf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'B1(a2)'!$P$2</c:f>
              <c:strCache>
                <c:ptCount val="1"/>
                <c:pt idx="0">
                  <c:v>FT Staff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'B1(a2)'!$A$3:$A$14</c:f>
              <c:strCache>
                <c:ptCount val="12"/>
                <c:pt idx="0">
                  <c:v>10-11am</c:v>
                </c:pt>
                <c:pt idx="1">
                  <c:v>11-12am</c:v>
                </c:pt>
                <c:pt idx="2">
                  <c:v>12-1pm</c:v>
                </c:pt>
                <c:pt idx="3">
                  <c:v>1-2pm</c:v>
                </c:pt>
                <c:pt idx="4">
                  <c:v>2-3pm</c:v>
                </c:pt>
                <c:pt idx="5">
                  <c:v>3-4pm</c:v>
                </c:pt>
                <c:pt idx="6">
                  <c:v>4-5pm</c:v>
                </c:pt>
                <c:pt idx="7">
                  <c:v>5-6pm</c:v>
                </c:pt>
                <c:pt idx="8">
                  <c:v>6-7pm</c:v>
                </c:pt>
                <c:pt idx="9">
                  <c:v>7-8pm</c:v>
                </c:pt>
                <c:pt idx="10">
                  <c:v>8-9pm</c:v>
                </c:pt>
                <c:pt idx="11">
                  <c:v>9-10pm</c:v>
                </c:pt>
              </c:strCache>
            </c:strRef>
          </c:cat>
          <c:val>
            <c:numRef>
              <c:f>'B1(a2)'!$P$3:$P$14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A-D848-BEA7-EB0A44B267C2}"/>
            </c:ext>
          </c:extLst>
        </c:ser>
        <c:ser>
          <c:idx val="1"/>
          <c:order val="1"/>
          <c:tx>
            <c:strRef>
              <c:f>'B1(a2)'!$Q$2</c:f>
              <c:strCache>
                <c:ptCount val="1"/>
                <c:pt idx="0">
                  <c:v>PT Staff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'B1(a2)'!$A$3:$A$14</c:f>
              <c:strCache>
                <c:ptCount val="12"/>
                <c:pt idx="0">
                  <c:v>10-11am</c:v>
                </c:pt>
                <c:pt idx="1">
                  <c:v>11-12am</c:v>
                </c:pt>
                <c:pt idx="2">
                  <c:v>12-1pm</c:v>
                </c:pt>
                <c:pt idx="3">
                  <c:v>1-2pm</c:v>
                </c:pt>
                <c:pt idx="4">
                  <c:v>2-3pm</c:v>
                </c:pt>
                <c:pt idx="5">
                  <c:v>3-4pm</c:v>
                </c:pt>
                <c:pt idx="6">
                  <c:v>4-5pm</c:v>
                </c:pt>
                <c:pt idx="7">
                  <c:v>5-6pm</c:v>
                </c:pt>
                <c:pt idx="8">
                  <c:v>6-7pm</c:v>
                </c:pt>
                <c:pt idx="9">
                  <c:v>7-8pm</c:v>
                </c:pt>
                <c:pt idx="10">
                  <c:v>8-9pm</c:v>
                </c:pt>
                <c:pt idx="11">
                  <c:v>9-10pm</c:v>
                </c:pt>
              </c:strCache>
            </c:strRef>
          </c:cat>
          <c:val>
            <c:numRef>
              <c:f>'B1(a2)'!$Q$3:$Q$14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A-D848-BEA7-EB0A44B26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232127"/>
        <c:axId val="1004242688"/>
      </c:barChart>
      <c:catAx>
        <c:axId val="5432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42688"/>
        <c:crosses val="autoZero"/>
        <c:auto val="1"/>
        <c:lblAlgn val="ctr"/>
        <c:lblOffset val="100"/>
        <c:noMultiLvlLbl val="0"/>
      </c:catAx>
      <c:valAx>
        <c:axId val="10042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 Waiting and Service Timeline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0"/>
          <c:tx>
            <c:strRef>
              <c:f>Sheet7!$I$1</c:f>
              <c:strCache>
                <c:ptCount val="1"/>
                <c:pt idx="0">
                  <c:v>Arrival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Sheet7!$I$2:$I$31</c:f>
              <c:numCache>
                <c:formatCode>h:mm:ss</c:formatCode>
                <c:ptCount val="30"/>
                <c:pt idx="0">
                  <c:v>0.59298620265830826</c:v>
                </c:pt>
                <c:pt idx="1">
                  <c:v>0.6000851522742261</c:v>
                </c:pt>
                <c:pt idx="2">
                  <c:v>0.61164556343856458</c:v>
                </c:pt>
                <c:pt idx="3">
                  <c:v>0.61613963829701379</c:v>
                </c:pt>
                <c:pt idx="4">
                  <c:v>0.62912203536258637</c:v>
                </c:pt>
                <c:pt idx="5">
                  <c:v>0.63131361273571995</c:v>
                </c:pt>
                <c:pt idx="6">
                  <c:v>0.63544676314881321</c:v>
                </c:pt>
                <c:pt idx="7">
                  <c:v>0.64961970489869825</c:v>
                </c:pt>
                <c:pt idx="8">
                  <c:v>0.66342236369832419</c:v>
                </c:pt>
                <c:pt idx="9">
                  <c:v>0.66366783797354301</c:v>
                </c:pt>
                <c:pt idx="10">
                  <c:v>0.67643841271926075</c:v>
                </c:pt>
                <c:pt idx="11">
                  <c:v>0.68787942871287044</c:v>
                </c:pt>
                <c:pt idx="12">
                  <c:v>0.69185436844555559</c:v>
                </c:pt>
                <c:pt idx="13">
                  <c:v>0.70613293351170081</c:v>
                </c:pt>
                <c:pt idx="14">
                  <c:v>0.72174613922531905</c:v>
                </c:pt>
                <c:pt idx="15">
                  <c:v>0.72623765688935327</c:v>
                </c:pt>
                <c:pt idx="16">
                  <c:v>0.73829674824222258</c:v>
                </c:pt>
                <c:pt idx="17">
                  <c:v>0.73874012863385707</c:v>
                </c:pt>
                <c:pt idx="18">
                  <c:v>0.75303042473345538</c:v>
                </c:pt>
                <c:pt idx="19">
                  <c:v>0.76563909002371811</c:v>
                </c:pt>
                <c:pt idx="20">
                  <c:v>0.77642306129007932</c:v>
                </c:pt>
                <c:pt idx="21">
                  <c:v>0.7861576948615292</c:v>
                </c:pt>
                <c:pt idx="22">
                  <c:v>0.79928738247136832</c:v>
                </c:pt>
                <c:pt idx="23">
                  <c:v>0.8112321246129669</c:v>
                </c:pt>
                <c:pt idx="24">
                  <c:v>0.81639524546975539</c:v>
                </c:pt>
                <c:pt idx="25">
                  <c:v>0.83127556750633935</c:v>
                </c:pt>
                <c:pt idx="26">
                  <c:v>0.84215547762594711</c:v>
                </c:pt>
                <c:pt idx="27">
                  <c:v>0.8489598904036616</c:v>
                </c:pt>
                <c:pt idx="28">
                  <c:v>0.85193842807992759</c:v>
                </c:pt>
                <c:pt idx="29">
                  <c:v>0.86294415243903544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AE-CE46-A3E9-C1B39C111207}"/>
            </c:ext>
          </c:extLst>
        </c:ser>
        <c:ser>
          <c:idx val="6"/>
          <c:order val="1"/>
          <c:tx>
            <c:strRef>
              <c:f>Sheet7!$M$1</c:f>
              <c:strCache>
                <c:ptCount val="1"/>
                <c:pt idx="0">
                  <c:v>WaitingTime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Sheet7!$M$2:$M$31</c:f>
              <c:numCache>
                <c:formatCode>h:mm:ss</c:formatCode>
                <c:ptCount val="3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9.4556455677252682E-4</c:v>
                </c:pt>
                <c:pt idx="6">
                  <c:v>2.4170984890388159E-3</c:v>
                </c:pt>
                <c:pt idx="7">
                  <c:v>0</c:v>
                </c:pt>
                <c:pt idx="8">
                  <c:v>0</c:v>
                </c:pt>
                <c:pt idx="9">
                  <c:v>4.1586824469628247E-3</c:v>
                </c:pt>
                <c:pt idx="10">
                  <c:v>0</c:v>
                </c:pt>
                <c:pt idx="11">
                  <c:v>0</c:v>
                </c:pt>
                <c:pt idx="12">
                  <c:v>7.0120744432478066E-4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4.4348993678876569E-3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1.8268425190848259E-4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AE-CE46-A3E9-C1B39C111207}"/>
            </c:ext>
          </c:extLst>
        </c:ser>
        <c:ser>
          <c:idx val="4"/>
          <c:order val="2"/>
          <c:tx>
            <c:strRef>
              <c:f>Sheet7!$K$1</c:f>
              <c:strCache>
                <c:ptCount val="1"/>
                <c:pt idx="0">
                  <c:v>Service Time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Sheet7!$K$2:$K$31</c:f>
              <c:numCache>
                <c:formatCode>h:mm:ss</c:formatCode>
                <c:ptCount val="30"/>
                <c:pt idx="0">
                  <c:v>5.3412127297487004E-3</c:v>
                </c:pt>
                <c:pt idx="1">
                  <c:v>4.8546623263158754E-3</c:v>
                </c:pt>
                <c:pt idx="2">
                  <c:v>3.6007761578646228E-3</c:v>
                </c:pt>
                <c:pt idx="3">
                  <c:v>5.6863027934005144E-3</c:v>
                </c:pt>
                <c:pt idx="4">
                  <c:v>3.1371419299060918E-3</c:v>
                </c:pt>
                <c:pt idx="5">
                  <c:v>5.6046843453595391E-3</c:v>
                </c:pt>
                <c:pt idx="6">
                  <c:v>6.9429764341436559E-3</c:v>
                </c:pt>
                <c:pt idx="7">
                  <c:v>1.6141721735791785E-3</c:v>
                </c:pt>
                <c:pt idx="8">
                  <c:v>4.404156722181681E-3</c:v>
                </c:pt>
                <c:pt idx="9">
                  <c:v>9.0939742642153105E-4</c:v>
                </c:pt>
                <c:pt idx="10">
                  <c:v>4.0404443828679533E-3</c:v>
                </c:pt>
                <c:pt idx="11">
                  <c:v>4.6761471770099027E-3</c:v>
                </c:pt>
                <c:pt idx="12">
                  <c:v>3.4858487357718629E-3</c:v>
                </c:pt>
                <c:pt idx="13">
                  <c:v>2.9951688112845034E-3</c:v>
                </c:pt>
                <c:pt idx="14">
                  <c:v>3.821178437543388E-3</c:v>
                </c:pt>
                <c:pt idx="15">
                  <c:v>7.8346145906680667E-3</c:v>
                </c:pt>
                <c:pt idx="16">
                  <c:v>4.8782797595221476E-3</c:v>
                </c:pt>
                <c:pt idx="17">
                  <c:v>3.8049955946816176E-3</c:v>
                </c:pt>
                <c:pt idx="18">
                  <c:v>7.6978262111272342E-4</c:v>
                </c:pt>
                <c:pt idx="19">
                  <c:v>4.6503276941832431E-3</c:v>
                </c:pt>
                <c:pt idx="20">
                  <c:v>2.0166610208869548E-3</c:v>
                </c:pt>
                <c:pt idx="21">
                  <c:v>3.7729486287765021E-3</c:v>
                </c:pt>
                <c:pt idx="22">
                  <c:v>1.1189364259572895E-3</c:v>
                </c:pt>
                <c:pt idx="23">
                  <c:v>4.8765321925847323E-3</c:v>
                </c:pt>
                <c:pt idx="24">
                  <c:v>3.5235788096241263E-3</c:v>
                </c:pt>
                <c:pt idx="25">
                  <c:v>3.5881353631866198E-3</c:v>
                </c:pt>
                <c:pt idx="26">
                  <c:v>3.9690534834096805E-3</c:v>
                </c:pt>
                <c:pt idx="27">
                  <c:v>3.1612219281744718E-3</c:v>
                </c:pt>
                <c:pt idx="28">
                  <c:v>3.1961625589603027E-3</c:v>
                </c:pt>
                <c:pt idx="29">
                  <c:v>2.0098720499618461E-3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AE-CE46-A3E9-C1B39C111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76996735"/>
        <c:axId val="1004176608"/>
      </c:barChart>
      <c:catAx>
        <c:axId val="976996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</a:t>
                </a:r>
                <a:r>
                  <a:rPr lang="en-US" baseline="0"/>
                  <a:t> Number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76608"/>
        <c:crosses val="autoZero"/>
        <c:auto val="1"/>
        <c:lblAlgn val="ctr"/>
        <c:lblOffset val="100"/>
        <c:noMultiLvlLbl val="0"/>
      </c:catAx>
      <c:valAx>
        <c:axId val="1004176608"/>
        <c:scaling>
          <c:orientation val="minMax"/>
          <c:min val="0.583335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(hh:mm:ss)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9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Waiting Time Line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Sheet7!$M$1</c:f>
              <c:strCache>
                <c:ptCount val="1"/>
                <c:pt idx="0">
                  <c:v>WaitingTime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Sheet7!$M$2:$M$31</c:f>
              <c:numCache>
                <c:formatCode>h:mm:ss</c:formatCode>
                <c:ptCount val="3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9.4556455677252682E-4</c:v>
                </c:pt>
                <c:pt idx="6">
                  <c:v>2.4170984890388159E-3</c:v>
                </c:pt>
                <c:pt idx="7">
                  <c:v>0</c:v>
                </c:pt>
                <c:pt idx="8">
                  <c:v>0</c:v>
                </c:pt>
                <c:pt idx="9">
                  <c:v>4.1586824469628247E-3</c:v>
                </c:pt>
                <c:pt idx="10">
                  <c:v>0</c:v>
                </c:pt>
                <c:pt idx="11">
                  <c:v>0</c:v>
                </c:pt>
                <c:pt idx="12">
                  <c:v>7.0120744432478066E-4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4.4348993678876569E-3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1.8268425190848259E-4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4-7D4D-87B6-DAF6A4F06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817823"/>
        <c:axId val="1000824223"/>
      </c:lineChart>
      <c:catAx>
        <c:axId val="162581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24223"/>
        <c:crosses val="autoZero"/>
        <c:auto val="1"/>
        <c:lblAlgn val="ctr"/>
        <c:lblOffset val="100"/>
        <c:noMultiLvlLbl val="0"/>
      </c:catAx>
      <c:valAx>
        <c:axId val="100082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(mm:ss)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mm]:ss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81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Service Time Line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Sheet7!$K$1</c:f>
              <c:strCache>
                <c:ptCount val="1"/>
                <c:pt idx="0">
                  <c:v>Service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Sheet7!$K$2:$K$31</c:f>
              <c:numCache>
                <c:formatCode>h:mm:ss</c:formatCode>
                <c:ptCount val="30"/>
                <c:pt idx="0">
                  <c:v>5.3412127297487004E-3</c:v>
                </c:pt>
                <c:pt idx="1">
                  <c:v>4.8546623263158754E-3</c:v>
                </c:pt>
                <c:pt idx="2">
                  <c:v>3.6007761578646228E-3</c:v>
                </c:pt>
                <c:pt idx="3">
                  <c:v>5.6863027934005144E-3</c:v>
                </c:pt>
                <c:pt idx="4">
                  <c:v>3.1371419299060918E-3</c:v>
                </c:pt>
                <c:pt idx="5">
                  <c:v>5.6046843453595391E-3</c:v>
                </c:pt>
                <c:pt idx="6">
                  <c:v>6.9429764341436559E-3</c:v>
                </c:pt>
                <c:pt idx="7">
                  <c:v>1.6141721735791785E-3</c:v>
                </c:pt>
                <c:pt idx="8">
                  <c:v>4.404156722181681E-3</c:v>
                </c:pt>
                <c:pt idx="9">
                  <c:v>9.0939742642153105E-4</c:v>
                </c:pt>
                <c:pt idx="10">
                  <c:v>4.0404443828679533E-3</c:v>
                </c:pt>
                <c:pt idx="11">
                  <c:v>4.6761471770099027E-3</c:v>
                </c:pt>
                <c:pt idx="12">
                  <c:v>3.4858487357718629E-3</c:v>
                </c:pt>
                <c:pt idx="13">
                  <c:v>2.9951688112845034E-3</c:v>
                </c:pt>
                <c:pt idx="14">
                  <c:v>3.821178437543388E-3</c:v>
                </c:pt>
                <c:pt idx="15">
                  <c:v>7.8346145906680667E-3</c:v>
                </c:pt>
                <c:pt idx="16">
                  <c:v>4.8782797595221476E-3</c:v>
                </c:pt>
                <c:pt idx="17">
                  <c:v>3.8049955946816176E-3</c:v>
                </c:pt>
                <c:pt idx="18">
                  <c:v>7.6978262111272342E-4</c:v>
                </c:pt>
                <c:pt idx="19">
                  <c:v>4.6503276941832431E-3</c:v>
                </c:pt>
                <c:pt idx="20">
                  <c:v>2.0166610208869548E-3</c:v>
                </c:pt>
                <c:pt idx="21">
                  <c:v>3.7729486287765021E-3</c:v>
                </c:pt>
                <c:pt idx="22">
                  <c:v>1.1189364259572895E-3</c:v>
                </c:pt>
                <c:pt idx="23">
                  <c:v>4.8765321925847323E-3</c:v>
                </c:pt>
                <c:pt idx="24">
                  <c:v>3.5235788096241263E-3</c:v>
                </c:pt>
                <c:pt idx="25">
                  <c:v>3.5881353631866198E-3</c:v>
                </c:pt>
                <c:pt idx="26">
                  <c:v>3.9690534834096805E-3</c:v>
                </c:pt>
                <c:pt idx="27">
                  <c:v>3.1612219281744718E-3</c:v>
                </c:pt>
                <c:pt idx="28">
                  <c:v>3.1961625589603027E-3</c:v>
                </c:pt>
                <c:pt idx="29">
                  <c:v>2.0098720499618461E-3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E-DA42-BD69-7D7A75738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814879"/>
        <c:axId val="1072817039"/>
      </c:lineChart>
      <c:catAx>
        <c:axId val="107281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Customer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17039"/>
        <c:crosses val="autoZero"/>
        <c:auto val="1"/>
        <c:lblAlgn val="ctr"/>
        <c:lblOffset val="100"/>
        <c:noMultiLvlLbl val="0"/>
      </c:catAx>
      <c:valAx>
        <c:axId val="107281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(mm:ss)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mm]:ss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1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567662</xdr:colOff>
      <xdr:row>67</xdr:row>
      <xdr:rowOff>177210</xdr:rowOff>
    </xdr:from>
    <xdr:to>
      <xdr:col>12</xdr:col>
      <xdr:colOff>186661</xdr:colOff>
      <xdr:row>81</xdr:row>
      <xdr:rowOff>72066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C49BA-F7E7-7B8E-7B1C-F65762BD1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24825</xdr:colOff>
      <xdr:row>42</xdr:row>
      <xdr:rowOff>16576</xdr:rowOff>
    </xdr:from>
    <xdr:to>
      <xdr:col>24</xdr:col>
      <xdr:colOff>21526</xdr:colOff>
      <xdr:row>66</xdr:row>
      <xdr:rowOff>86102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027292-4E0F-B4EC-B54F-DCD773FCB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21441</xdr:colOff>
      <xdr:row>21</xdr:row>
      <xdr:rowOff>20585</xdr:rowOff>
    </xdr:from>
    <xdr:to>
      <xdr:col>23</xdr:col>
      <xdr:colOff>796441</xdr:colOff>
      <xdr:row>40</xdr:row>
      <xdr:rowOff>107627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3D4DA5F-442F-56D4-C9CA-9F1538D9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20800</xdr:colOff>
      <xdr:row>1</xdr:row>
      <xdr:rowOff>12232</xdr:rowOff>
    </xdr:from>
    <xdr:to>
      <xdr:col>23</xdr:col>
      <xdr:colOff>774916</xdr:colOff>
      <xdr:row>19</xdr:row>
      <xdr:rowOff>21526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878C8A6-0D90-EDEC-24E2-3F49FBCFF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FB0B-8320-6C46-816E-D0F50B1C13FB}">
  <dimension ref="A1:H30"/>
  <sheetViews>
    <sheetView workbookViewId="0">
      <selection activeCell="K7" sqref="K7"/>
    </sheetView>
  </sheetViews>
  <sheetFormatPr baseColWidth="10" defaultRowHeight="16" x14ac:dyDescent="0.2"/>
  <cols>
    <col min="2" max="2" width="53.83203125" customWidth="1"/>
    <col min="7" max="7" width="16.1640625" customWidth="1"/>
    <col min="8" max="8" width="13" customWidth="1"/>
    <col min="9" max="9" width="12.6640625" customWidth="1"/>
  </cols>
  <sheetData>
    <row r="1" spans="1:8" x14ac:dyDescent="0.2">
      <c r="C1" s="49" t="s">
        <v>22</v>
      </c>
      <c r="D1" s="49"/>
      <c r="E1" s="49"/>
      <c r="F1" s="49"/>
      <c r="G1" s="8"/>
    </row>
    <row r="2" spans="1:8" x14ac:dyDescent="0.2">
      <c r="A2" s="2" t="s">
        <v>0</v>
      </c>
      <c r="B2" s="46" t="s">
        <v>13</v>
      </c>
      <c r="C2" s="22" t="s">
        <v>1</v>
      </c>
      <c r="D2" s="22" t="s">
        <v>2</v>
      </c>
      <c r="E2" s="22" t="s">
        <v>3</v>
      </c>
      <c r="F2" s="22" t="s">
        <v>4</v>
      </c>
      <c r="G2" s="3"/>
    </row>
    <row r="3" spans="1:8" x14ac:dyDescent="0.2">
      <c r="A3" s="1" t="s">
        <v>5</v>
      </c>
      <c r="B3" s="47" t="s">
        <v>14</v>
      </c>
      <c r="C3" s="6">
        <v>1</v>
      </c>
      <c r="D3" s="6">
        <v>5</v>
      </c>
      <c r="E3" s="6">
        <v>5</v>
      </c>
      <c r="F3" s="6">
        <v>2</v>
      </c>
      <c r="G3" s="3"/>
    </row>
    <row r="4" spans="1:8" x14ac:dyDescent="0.2">
      <c r="A4" s="1" t="s">
        <v>6</v>
      </c>
      <c r="B4" s="47" t="s">
        <v>15</v>
      </c>
      <c r="C4" s="6">
        <v>5</v>
      </c>
      <c r="D4" s="6">
        <v>2</v>
      </c>
      <c r="E4" s="6">
        <v>2</v>
      </c>
      <c r="F4" s="6">
        <v>4</v>
      </c>
      <c r="G4" s="3"/>
    </row>
    <row r="5" spans="1:8" x14ac:dyDescent="0.2">
      <c r="A5" s="1" t="s">
        <v>7</v>
      </c>
      <c r="B5" s="47" t="s">
        <v>16</v>
      </c>
      <c r="C5" s="6">
        <v>5</v>
      </c>
      <c r="D5" s="6">
        <v>2</v>
      </c>
      <c r="E5" s="6">
        <v>3</v>
      </c>
      <c r="F5" s="6">
        <v>4</v>
      </c>
      <c r="G5" s="3"/>
    </row>
    <row r="6" spans="1:8" x14ac:dyDescent="0.2">
      <c r="A6" s="1" t="s">
        <v>8</v>
      </c>
      <c r="B6" s="47" t="s">
        <v>17</v>
      </c>
      <c r="C6" s="6">
        <v>2</v>
      </c>
      <c r="D6" s="6">
        <v>1</v>
      </c>
      <c r="E6" s="6">
        <v>4</v>
      </c>
      <c r="F6" s="6">
        <v>5</v>
      </c>
      <c r="G6" s="3"/>
    </row>
    <row r="7" spans="1:8" x14ac:dyDescent="0.2">
      <c r="A7" s="1" t="s">
        <v>9</v>
      </c>
      <c r="B7" s="47" t="s">
        <v>18</v>
      </c>
      <c r="C7" s="6">
        <v>2</v>
      </c>
      <c r="D7" s="6">
        <v>1</v>
      </c>
      <c r="E7" s="6">
        <v>3</v>
      </c>
      <c r="F7" s="6">
        <v>4</v>
      </c>
      <c r="G7" s="3"/>
    </row>
    <row r="8" spans="1:8" x14ac:dyDescent="0.2">
      <c r="A8" s="1" t="s">
        <v>10</v>
      </c>
      <c r="B8" s="47" t="s">
        <v>19</v>
      </c>
      <c r="C8" s="6">
        <v>5</v>
      </c>
      <c r="D8" s="6">
        <v>4</v>
      </c>
      <c r="E8" s="6">
        <v>2</v>
      </c>
      <c r="F8" s="6">
        <v>2</v>
      </c>
      <c r="G8" s="3"/>
    </row>
    <row r="9" spans="1:8" x14ac:dyDescent="0.2">
      <c r="A9" s="1" t="s">
        <v>11</v>
      </c>
      <c r="B9" s="47" t="s">
        <v>20</v>
      </c>
      <c r="C9" s="6">
        <v>1</v>
      </c>
      <c r="D9" s="6">
        <v>5</v>
      </c>
      <c r="E9" s="6">
        <v>5</v>
      </c>
      <c r="F9" s="6">
        <v>4</v>
      </c>
      <c r="G9" s="3"/>
    </row>
    <row r="10" spans="1:8" x14ac:dyDescent="0.2">
      <c r="A10" s="1" t="s">
        <v>12</v>
      </c>
      <c r="B10" s="47" t="s">
        <v>21</v>
      </c>
      <c r="C10" s="6">
        <v>4</v>
      </c>
      <c r="D10" s="6">
        <v>1</v>
      </c>
      <c r="E10" s="6">
        <v>2</v>
      </c>
      <c r="F10" s="6">
        <v>1</v>
      </c>
      <c r="G10" s="3"/>
    </row>
    <row r="13" spans="1:8" x14ac:dyDescent="0.2">
      <c r="C13" s="49" t="s">
        <v>22</v>
      </c>
      <c r="D13" s="49"/>
      <c r="E13" s="49"/>
      <c r="F13" s="49"/>
      <c r="G13" s="8"/>
    </row>
    <row r="14" spans="1:8" x14ac:dyDescent="0.2">
      <c r="A14" s="2" t="s">
        <v>0</v>
      </c>
      <c r="B14" s="46" t="s">
        <v>13</v>
      </c>
      <c r="C14" s="22" t="s">
        <v>1</v>
      </c>
      <c r="D14" s="22" t="s">
        <v>2</v>
      </c>
      <c r="E14" s="22" t="s">
        <v>3</v>
      </c>
      <c r="F14" s="22" t="s">
        <v>4</v>
      </c>
      <c r="G14" s="11" t="s">
        <v>27</v>
      </c>
      <c r="H14" s="11" t="s">
        <v>28</v>
      </c>
    </row>
    <row r="15" spans="1:8" x14ac:dyDescent="0.2">
      <c r="A15" s="1" t="s">
        <v>5</v>
      </c>
      <c r="B15" s="47" t="s">
        <v>14</v>
      </c>
      <c r="C15" s="10">
        <v>1</v>
      </c>
      <c r="D15" s="6">
        <v>0</v>
      </c>
      <c r="E15" s="6">
        <v>0</v>
      </c>
      <c r="F15" s="6">
        <v>0</v>
      </c>
      <c r="G15" s="3">
        <f t="shared" ref="G15:G22" si="0">SUM(C15:F15)</f>
        <v>1</v>
      </c>
      <c r="H15" s="3">
        <v>1</v>
      </c>
    </row>
    <row r="16" spans="1:8" x14ac:dyDescent="0.2">
      <c r="A16" s="1" t="s">
        <v>6</v>
      </c>
      <c r="B16" s="47" t="s">
        <v>15</v>
      </c>
      <c r="C16" s="6">
        <v>0</v>
      </c>
      <c r="D16" s="6">
        <v>0</v>
      </c>
      <c r="E16" s="10">
        <v>1</v>
      </c>
      <c r="F16" s="6">
        <v>0</v>
      </c>
      <c r="G16" s="3">
        <f t="shared" si="0"/>
        <v>1</v>
      </c>
      <c r="H16" s="3">
        <v>1</v>
      </c>
    </row>
    <row r="17" spans="1:8" x14ac:dyDescent="0.2">
      <c r="A17" s="1" t="s">
        <v>7</v>
      </c>
      <c r="B17" s="47" t="s">
        <v>16</v>
      </c>
      <c r="C17" s="6">
        <v>0</v>
      </c>
      <c r="D17" s="6">
        <v>0</v>
      </c>
      <c r="E17" s="10">
        <v>1</v>
      </c>
      <c r="F17" s="6">
        <v>0</v>
      </c>
      <c r="G17" s="3">
        <f t="shared" si="0"/>
        <v>1</v>
      </c>
      <c r="H17" s="3">
        <v>1</v>
      </c>
    </row>
    <row r="18" spans="1:8" x14ac:dyDescent="0.2">
      <c r="A18" s="1" t="s">
        <v>8</v>
      </c>
      <c r="B18" s="47" t="s">
        <v>17</v>
      </c>
      <c r="C18" s="6">
        <v>0</v>
      </c>
      <c r="D18" s="10">
        <v>1</v>
      </c>
      <c r="E18" s="6">
        <v>0</v>
      </c>
      <c r="F18" s="6">
        <v>0</v>
      </c>
      <c r="G18" s="3">
        <f t="shared" si="0"/>
        <v>1</v>
      </c>
      <c r="H18" s="3">
        <v>1</v>
      </c>
    </row>
    <row r="19" spans="1:8" x14ac:dyDescent="0.2">
      <c r="A19" s="1" t="s">
        <v>9</v>
      </c>
      <c r="B19" s="47" t="s">
        <v>18</v>
      </c>
      <c r="C19" s="6">
        <v>0</v>
      </c>
      <c r="D19" s="10">
        <v>1</v>
      </c>
      <c r="E19" s="6">
        <v>0</v>
      </c>
      <c r="F19" s="6">
        <v>0</v>
      </c>
      <c r="G19" s="3">
        <f t="shared" si="0"/>
        <v>1</v>
      </c>
      <c r="H19" s="3">
        <v>1</v>
      </c>
    </row>
    <row r="20" spans="1:8" x14ac:dyDescent="0.2">
      <c r="A20" s="1" t="s">
        <v>10</v>
      </c>
      <c r="B20" s="47" t="s">
        <v>19</v>
      </c>
      <c r="C20" s="6">
        <v>0</v>
      </c>
      <c r="D20" s="6">
        <v>0</v>
      </c>
      <c r="E20" s="6">
        <v>0</v>
      </c>
      <c r="F20" s="10">
        <v>1</v>
      </c>
      <c r="G20" s="3">
        <f t="shared" si="0"/>
        <v>1</v>
      </c>
      <c r="H20" s="3">
        <v>1</v>
      </c>
    </row>
    <row r="21" spans="1:8" x14ac:dyDescent="0.2">
      <c r="A21" s="1" t="s">
        <v>11</v>
      </c>
      <c r="B21" s="47" t="s">
        <v>20</v>
      </c>
      <c r="C21" s="10">
        <v>1</v>
      </c>
      <c r="D21" s="6">
        <v>0</v>
      </c>
      <c r="E21" s="6">
        <v>0</v>
      </c>
      <c r="F21" s="6">
        <v>0</v>
      </c>
      <c r="G21" s="3">
        <f t="shared" si="0"/>
        <v>1</v>
      </c>
      <c r="H21" s="3">
        <v>1</v>
      </c>
    </row>
    <row r="22" spans="1:8" x14ac:dyDescent="0.2">
      <c r="A22" s="1" t="s">
        <v>12</v>
      </c>
      <c r="B22" s="48" t="s">
        <v>21</v>
      </c>
      <c r="C22" s="6">
        <v>0</v>
      </c>
      <c r="D22" s="6">
        <v>0</v>
      </c>
      <c r="E22" s="6">
        <v>0</v>
      </c>
      <c r="F22" s="10">
        <v>1</v>
      </c>
      <c r="G22" s="3">
        <f t="shared" si="0"/>
        <v>1</v>
      </c>
      <c r="H22" s="3">
        <v>1</v>
      </c>
    </row>
    <row r="23" spans="1:8" x14ac:dyDescent="0.2">
      <c r="B23" s="12" t="s">
        <v>25</v>
      </c>
      <c r="C23" s="3">
        <f>SUM(C15:C22)</f>
        <v>2</v>
      </c>
      <c r="D23" s="3">
        <f t="shared" ref="D23:F23" si="1">SUM(D15:D22)</f>
        <v>2</v>
      </c>
      <c r="E23" s="3">
        <f t="shared" si="1"/>
        <v>2</v>
      </c>
      <c r="F23" s="3">
        <f t="shared" si="1"/>
        <v>2</v>
      </c>
      <c r="G23" s="3"/>
    </row>
    <row r="24" spans="1:8" x14ac:dyDescent="0.2">
      <c r="B24" s="11" t="s">
        <v>149</v>
      </c>
      <c r="C24" s="7">
        <v>2</v>
      </c>
      <c r="D24" s="7">
        <v>2</v>
      </c>
      <c r="E24" s="7">
        <v>2</v>
      </c>
      <c r="F24" s="7">
        <v>2</v>
      </c>
      <c r="G24" s="3"/>
    </row>
    <row r="25" spans="1:8" x14ac:dyDescent="0.2">
      <c r="B25" s="11" t="s">
        <v>26</v>
      </c>
      <c r="C25" s="3">
        <f>SUMPRODUCT(C3:C10,C15:C22)</f>
        <v>2</v>
      </c>
      <c r="D25" s="3">
        <f t="shared" ref="D25:F25" si="2">SUMPRODUCT(D3:D10,D15:D22)</f>
        <v>2</v>
      </c>
      <c r="E25" s="3">
        <f t="shared" si="2"/>
        <v>5</v>
      </c>
      <c r="F25" s="3">
        <f t="shared" si="2"/>
        <v>3</v>
      </c>
      <c r="G25" s="3"/>
    </row>
    <row r="26" spans="1:8" x14ac:dyDescent="0.2">
      <c r="B26" s="11" t="s">
        <v>150</v>
      </c>
      <c r="C26" s="3">
        <v>8</v>
      </c>
      <c r="D26" s="3">
        <v>10</v>
      </c>
      <c r="E26" s="3">
        <v>11</v>
      </c>
      <c r="F26" s="3">
        <v>7</v>
      </c>
      <c r="G26" s="3"/>
    </row>
    <row r="27" spans="1:8" x14ac:dyDescent="0.2">
      <c r="B27" s="8"/>
      <c r="C27" s="3"/>
      <c r="D27" s="3"/>
      <c r="E27" s="3"/>
      <c r="F27" s="3"/>
      <c r="G27" s="3"/>
    </row>
    <row r="28" spans="1:8" x14ac:dyDescent="0.2">
      <c r="C28" s="3"/>
      <c r="D28" s="3"/>
      <c r="E28" s="3"/>
      <c r="F28" s="3"/>
    </row>
    <row r="30" spans="1:8" x14ac:dyDescent="0.2">
      <c r="B30" s="13" t="s">
        <v>23</v>
      </c>
      <c r="C30" s="13">
        <f>SUMPRODUCT(C3:F10,C15:F22)</f>
        <v>12</v>
      </c>
    </row>
  </sheetData>
  <mergeCells count="2">
    <mergeCell ref="C1:F1"/>
    <mergeCell ref="C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62C0-C6E3-3941-9F72-A3805DC0BE85}">
  <dimension ref="A1:K21"/>
  <sheetViews>
    <sheetView workbookViewId="0">
      <selection activeCell="D40" sqref="D40"/>
    </sheetView>
  </sheetViews>
  <sheetFormatPr baseColWidth="10" defaultRowHeight="16" x14ac:dyDescent="0.2"/>
  <cols>
    <col min="1" max="1" width="17.33203125" customWidth="1"/>
    <col min="2" max="2" width="10.83203125" customWidth="1"/>
  </cols>
  <sheetData>
    <row r="1" spans="1:11" x14ac:dyDescent="0.2">
      <c r="A1" s="50" t="s">
        <v>30</v>
      </c>
      <c r="B1" s="55" t="s">
        <v>29</v>
      </c>
      <c r="C1" s="55"/>
      <c r="D1" s="55"/>
      <c r="E1" s="55"/>
      <c r="G1" s="16"/>
      <c r="H1" s="16" t="s">
        <v>31</v>
      </c>
      <c r="I1" s="16" t="s">
        <v>32</v>
      </c>
      <c r="J1" s="16" t="s">
        <v>33</v>
      </c>
      <c r="K1" s="16" t="s">
        <v>34</v>
      </c>
    </row>
    <row r="2" spans="1:11" x14ac:dyDescent="0.2">
      <c r="A2" s="51"/>
      <c r="B2" s="2" t="s">
        <v>31</v>
      </c>
      <c r="C2" s="2" t="s">
        <v>32</v>
      </c>
      <c r="D2" s="2" t="s">
        <v>33</v>
      </c>
      <c r="E2" s="2" t="s">
        <v>34</v>
      </c>
      <c r="G2" t="s">
        <v>31</v>
      </c>
      <c r="H2">
        <f>VARP('A1(b)'!$B$3:$B$12)</f>
        <v>6.063796</v>
      </c>
    </row>
    <row r="3" spans="1:11" x14ac:dyDescent="0.2">
      <c r="A3" s="14" t="s">
        <v>35</v>
      </c>
      <c r="B3" s="18">
        <v>5.01</v>
      </c>
      <c r="C3" s="18">
        <v>8.0299999999999994</v>
      </c>
      <c r="D3" s="18">
        <v>6.12</v>
      </c>
      <c r="E3" s="18">
        <v>8.31</v>
      </c>
      <c r="G3" t="s">
        <v>32</v>
      </c>
      <c r="H3">
        <v>6.3436000000000003</v>
      </c>
      <c r="I3">
        <f>VARP('A1(b)'!$C$3:$C$12)</f>
        <v>9.2085400000000028</v>
      </c>
    </row>
    <row r="4" spans="1:11" x14ac:dyDescent="0.2">
      <c r="A4" s="14" t="s">
        <v>36</v>
      </c>
      <c r="B4" s="18">
        <v>5.35</v>
      </c>
      <c r="C4" s="18">
        <v>3.31</v>
      </c>
      <c r="D4" s="18">
        <v>6.41</v>
      </c>
      <c r="E4" s="18">
        <v>4.97</v>
      </c>
      <c r="G4" t="s">
        <v>33</v>
      </c>
      <c r="H4">
        <v>6.1472779999999982</v>
      </c>
      <c r="I4">
        <v>7.1187799999999992</v>
      </c>
      <c r="J4">
        <f>VARP('A1(b)'!$D$3:$D$12)</f>
        <v>7.1930489999999967</v>
      </c>
    </row>
    <row r="5" spans="1:11" ht="17" thickBot="1" x14ac:dyDescent="0.25">
      <c r="A5" s="14" t="s">
        <v>37</v>
      </c>
      <c r="B5" s="18">
        <v>3.12</v>
      </c>
      <c r="C5" s="18">
        <v>2.11</v>
      </c>
      <c r="D5" s="18">
        <v>4.03</v>
      </c>
      <c r="E5" s="18">
        <v>1.05</v>
      </c>
      <c r="G5" s="15" t="s">
        <v>34</v>
      </c>
      <c r="H5" s="15">
        <v>5.3941480000000004</v>
      </c>
      <c r="I5" s="15">
        <v>8.3632899999999992</v>
      </c>
      <c r="J5" s="15">
        <v>6.0461390000000002</v>
      </c>
      <c r="K5" s="15">
        <f>VARP('A1(b)'!$E$3:$E$12)</f>
        <v>9.3723890000000054</v>
      </c>
    </row>
    <row r="6" spans="1:11" x14ac:dyDescent="0.2">
      <c r="A6" s="14" t="s">
        <v>38</v>
      </c>
      <c r="B6" s="18">
        <v>8.0399999999999991</v>
      </c>
      <c r="C6" s="18">
        <v>6.67</v>
      </c>
      <c r="D6" s="18">
        <v>8.0299999999999994</v>
      </c>
      <c r="E6" s="18">
        <v>7.55</v>
      </c>
    </row>
    <row r="7" spans="1:11" x14ac:dyDescent="0.2">
      <c r="A7" s="14" t="s">
        <v>39</v>
      </c>
      <c r="B7" s="18">
        <v>1.67</v>
      </c>
      <c r="C7" s="18">
        <v>1</v>
      </c>
      <c r="D7" s="18">
        <v>2.0299999999999998</v>
      </c>
      <c r="E7" s="18">
        <v>2.12</v>
      </c>
      <c r="G7" s="9" t="s">
        <v>47</v>
      </c>
      <c r="H7" s="9">
        <v>6.3436000000000003</v>
      </c>
      <c r="I7" s="9">
        <f>B17*C17</f>
        <v>0</v>
      </c>
    </row>
    <row r="8" spans="1:11" x14ac:dyDescent="0.2">
      <c r="A8" s="14" t="s">
        <v>40</v>
      </c>
      <c r="B8" s="18">
        <v>-0.2</v>
      </c>
      <c r="C8" s="18">
        <v>0.44</v>
      </c>
      <c r="D8" s="18">
        <v>-0.12</v>
      </c>
      <c r="E8" s="18">
        <v>3.33</v>
      </c>
      <c r="G8" s="9" t="s">
        <v>48</v>
      </c>
      <c r="H8" s="9">
        <v>6.1472779999999982</v>
      </c>
      <c r="I8" s="9">
        <f>B17*D17</f>
        <v>0</v>
      </c>
    </row>
    <row r="9" spans="1:11" x14ac:dyDescent="0.2">
      <c r="A9" s="14" t="s">
        <v>41</v>
      </c>
      <c r="B9" s="18">
        <v>4.7</v>
      </c>
      <c r="C9" s="18">
        <v>3.06</v>
      </c>
      <c r="D9" s="18">
        <v>3.22</v>
      </c>
      <c r="E9" s="18">
        <v>2.12</v>
      </c>
      <c r="G9" s="9" t="s">
        <v>49</v>
      </c>
      <c r="H9" s="9">
        <v>5.3941480000000004</v>
      </c>
      <c r="I9" s="9">
        <f>B17*E17</f>
        <v>0.12331791392786924</v>
      </c>
    </row>
    <row r="10" spans="1:11" x14ac:dyDescent="0.2">
      <c r="A10" s="14" t="s">
        <v>42</v>
      </c>
      <c r="B10" s="18">
        <v>1.21</v>
      </c>
      <c r="C10" s="18">
        <v>-0.06</v>
      </c>
      <c r="D10" s="18">
        <v>2.88</v>
      </c>
      <c r="E10" s="18">
        <v>-1.02</v>
      </c>
      <c r="G10" s="9" t="s">
        <v>50</v>
      </c>
      <c r="H10" s="9">
        <f>I4</f>
        <v>7.1187799999999992</v>
      </c>
      <c r="I10" s="9">
        <f>C17*D17</f>
        <v>0</v>
      </c>
    </row>
    <row r="11" spans="1:11" x14ac:dyDescent="0.2">
      <c r="A11" s="14" t="s">
        <v>43</v>
      </c>
      <c r="B11" s="18">
        <v>7.03</v>
      </c>
      <c r="C11" s="18">
        <v>9.1</v>
      </c>
      <c r="D11" s="18">
        <v>9.11</v>
      </c>
      <c r="E11" s="18">
        <v>8.0500000000000007</v>
      </c>
      <c r="G11" s="9" t="s">
        <v>51</v>
      </c>
      <c r="H11" s="9">
        <f>I5</f>
        <v>8.3632899999999992</v>
      </c>
      <c r="I11" s="9">
        <f>C17*E17</f>
        <v>0</v>
      </c>
    </row>
    <row r="12" spans="1:11" x14ac:dyDescent="0.2">
      <c r="A12" s="14" t="s">
        <v>44</v>
      </c>
      <c r="B12" s="18">
        <v>3.55</v>
      </c>
      <c r="C12" s="18">
        <v>4.24</v>
      </c>
      <c r="D12" s="18">
        <v>5.08</v>
      </c>
      <c r="E12" s="18">
        <v>6.11</v>
      </c>
      <c r="G12" s="9" t="s">
        <v>52</v>
      </c>
      <c r="H12" s="9">
        <f>J5</f>
        <v>6.0461390000000002</v>
      </c>
      <c r="I12" s="9">
        <f>D17*E17</f>
        <v>0</v>
      </c>
    </row>
    <row r="13" spans="1:11" x14ac:dyDescent="0.2">
      <c r="A13" s="23" t="s">
        <v>45</v>
      </c>
      <c r="B13" s="19">
        <f>AVERAGE(B3:B12)</f>
        <v>3.9479999999999995</v>
      </c>
      <c r="C13" s="19">
        <f t="shared" ref="C13:E13" si="0">AVERAGE(C3:C12)</f>
        <v>3.79</v>
      </c>
      <c r="D13" s="19">
        <f t="shared" si="0"/>
        <v>4.6790000000000003</v>
      </c>
      <c r="E13" s="19">
        <f t="shared" si="0"/>
        <v>4.2590000000000003</v>
      </c>
    </row>
    <row r="15" spans="1:11" x14ac:dyDescent="0.2">
      <c r="B15" s="56" t="s">
        <v>57</v>
      </c>
      <c r="C15" s="56"/>
      <c r="D15" s="56"/>
      <c r="E15" s="56"/>
      <c r="I15" s="53" t="s">
        <v>60</v>
      </c>
      <c r="J15" s="54"/>
    </row>
    <row r="16" spans="1:11" x14ac:dyDescent="0.2">
      <c r="B16" s="22" t="s">
        <v>53</v>
      </c>
      <c r="C16" s="22" t="s">
        <v>54</v>
      </c>
      <c r="D16" s="22" t="s">
        <v>55</v>
      </c>
      <c r="E16" s="22" t="s">
        <v>56</v>
      </c>
      <c r="G16" s="53" t="s">
        <v>61</v>
      </c>
      <c r="H16" s="54"/>
      <c r="I16" s="9">
        <f>SUM(B17:E17)</f>
        <v>1</v>
      </c>
      <c r="J16" s="9">
        <v>1</v>
      </c>
    </row>
    <row r="17" spans="1:10" x14ac:dyDescent="0.2">
      <c r="A17" s="21" t="s">
        <v>58</v>
      </c>
      <c r="B17" s="24">
        <v>0.85592427013640249</v>
      </c>
      <c r="C17" s="17">
        <v>0</v>
      </c>
      <c r="D17" s="17">
        <v>0</v>
      </c>
      <c r="E17" s="24">
        <v>0.14407572986359757</v>
      </c>
      <c r="G17" s="53" t="s">
        <v>62</v>
      </c>
      <c r="H17" s="54"/>
      <c r="I17" s="9">
        <f>SUMPRODUCT(B13:E13,B17:E17)</f>
        <v>3.9928075519875788</v>
      </c>
      <c r="J17" s="9">
        <v>3.5</v>
      </c>
    </row>
    <row r="20" spans="1:10" x14ac:dyDescent="0.2">
      <c r="A20" s="20" t="s">
        <v>59</v>
      </c>
      <c r="B20" s="10">
        <f>H2*B17^2+I3*C17^2+J4*D17^2+K5*E17^2+2*SUMPRODUCT(H7:H12,I7:I12)</f>
        <v>5.967315975648301</v>
      </c>
      <c r="C20" s="3"/>
      <c r="D20" s="3"/>
      <c r="E20" s="3"/>
      <c r="I20" s="20" t="s">
        <v>151</v>
      </c>
      <c r="J20" s="20" t="s">
        <v>152</v>
      </c>
    </row>
    <row r="21" spans="1:10" x14ac:dyDescent="0.2">
      <c r="G21" s="52" t="s">
        <v>153</v>
      </c>
      <c r="H21" s="52"/>
      <c r="I21" s="45">
        <f>I17-1.96*SQRT(B20)</f>
        <v>-0.79509815427382469</v>
      </c>
      <c r="J21" s="45">
        <f>I17+1.96*SQRT(B20)</f>
        <v>8.7807132582489817</v>
      </c>
    </row>
  </sheetData>
  <mergeCells count="7">
    <mergeCell ref="A1:A2"/>
    <mergeCell ref="G21:H21"/>
    <mergeCell ref="G17:H17"/>
    <mergeCell ref="I15:J15"/>
    <mergeCell ref="B1:E1"/>
    <mergeCell ref="B15:E15"/>
    <mergeCell ref="G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C535-E2EA-1949-8FF3-F8E248FF68A5}">
  <dimension ref="A1:F7"/>
  <sheetViews>
    <sheetView zoomScale="185" workbookViewId="0">
      <selection activeCell="C12" sqref="C12"/>
    </sheetView>
  </sheetViews>
  <sheetFormatPr baseColWidth="10" defaultRowHeight="16" x14ac:dyDescent="0.2"/>
  <cols>
    <col min="1" max="1" width="15" customWidth="1"/>
    <col min="2" max="2" width="27.83203125" customWidth="1"/>
    <col min="3" max="3" width="24" customWidth="1"/>
    <col min="4" max="4" width="18.1640625" customWidth="1"/>
    <col min="5" max="5" width="19.33203125" customWidth="1"/>
    <col min="6" max="6" width="16.33203125" customWidth="1"/>
  </cols>
  <sheetData>
    <row r="1" spans="1:6" x14ac:dyDescent="0.2">
      <c r="A1" s="22" t="s">
        <v>63</v>
      </c>
      <c r="B1" s="22" t="s">
        <v>64</v>
      </c>
      <c r="C1" s="22" t="s">
        <v>65</v>
      </c>
      <c r="D1" s="22" t="s">
        <v>66</v>
      </c>
      <c r="E1" s="22" t="s">
        <v>67</v>
      </c>
      <c r="F1" s="22" t="s">
        <v>68</v>
      </c>
    </row>
    <row r="2" spans="1:6" x14ac:dyDescent="0.2">
      <c r="A2" s="6" t="s">
        <v>53</v>
      </c>
      <c r="B2" s="17" t="s">
        <v>69</v>
      </c>
      <c r="C2" s="6" t="s">
        <v>70</v>
      </c>
      <c r="D2" s="6">
        <v>2</v>
      </c>
      <c r="E2" s="6">
        <v>3</v>
      </c>
      <c r="F2" s="6">
        <v>5</v>
      </c>
    </row>
    <row r="3" spans="1:6" x14ac:dyDescent="0.2">
      <c r="A3" s="6" t="s">
        <v>71</v>
      </c>
      <c r="B3" s="17" t="s">
        <v>72</v>
      </c>
      <c r="C3" s="6" t="s">
        <v>53</v>
      </c>
      <c r="D3" s="6">
        <v>1</v>
      </c>
      <c r="E3" s="6">
        <v>2</v>
      </c>
      <c r="F3" s="6">
        <v>4</v>
      </c>
    </row>
    <row r="4" spans="1:6" x14ac:dyDescent="0.2">
      <c r="A4" s="6" t="s">
        <v>55</v>
      </c>
      <c r="B4" s="17" t="s">
        <v>73</v>
      </c>
      <c r="C4" s="6" t="s">
        <v>53</v>
      </c>
      <c r="D4" s="6">
        <v>2</v>
      </c>
      <c r="E4" s="6">
        <v>4</v>
      </c>
      <c r="F4" s="6">
        <v>6</v>
      </c>
    </row>
    <row r="5" spans="1:6" x14ac:dyDescent="0.2">
      <c r="A5" s="6" t="s">
        <v>56</v>
      </c>
      <c r="B5" s="17" t="s">
        <v>74</v>
      </c>
      <c r="C5" s="6" t="s">
        <v>55</v>
      </c>
      <c r="D5" s="6">
        <v>2</v>
      </c>
      <c r="E5" s="6">
        <v>3</v>
      </c>
      <c r="F5" s="6">
        <v>5</v>
      </c>
    </row>
    <row r="6" spans="1:6" x14ac:dyDescent="0.2">
      <c r="A6" s="6" t="s">
        <v>75</v>
      </c>
      <c r="B6" s="17" t="s">
        <v>76</v>
      </c>
      <c r="C6" s="6" t="s">
        <v>71</v>
      </c>
      <c r="D6" s="6">
        <v>1</v>
      </c>
      <c r="E6" s="6">
        <v>2</v>
      </c>
      <c r="F6" s="6">
        <v>3</v>
      </c>
    </row>
    <row r="7" spans="1:6" x14ac:dyDescent="0.2">
      <c r="A7" s="6" t="s">
        <v>77</v>
      </c>
      <c r="B7" s="17" t="s">
        <v>78</v>
      </c>
      <c r="C7" s="6" t="s">
        <v>79</v>
      </c>
      <c r="D7" s="6">
        <v>1</v>
      </c>
      <c r="E7" s="6">
        <v>2</v>
      </c>
      <c r="F7" s="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13BB-BAE0-0C4C-B9E3-3F70B9679FEF}">
  <dimension ref="A1:U23"/>
  <sheetViews>
    <sheetView zoomScale="75" workbookViewId="0">
      <selection activeCell="K31" sqref="K31"/>
    </sheetView>
  </sheetViews>
  <sheetFormatPr baseColWidth="10" defaultRowHeight="16" x14ac:dyDescent="0.2"/>
  <cols>
    <col min="17" max="17" width="10.1640625" customWidth="1"/>
    <col min="18" max="18" width="9.5" customWidth="1"/>
    <col min="19" max="19" width="17.1640625" customWidth="1"/>
    <col min="20" max="20" width="6.1640625" customWidth="1"/>
    <col min="21" max="21" width="18.33203125" customWidth="1"/>
  </cols>
  <sheetData>
    <row r="1" spans="1:21" x14ac:dyDescent="0.2">
      <c r="G1" s="49" t="s">
        <v>108</v>
      </c>
      <c r="H1" s="49"/>
      <c r="I1" s="49"/>
      <c r="J1" s="49"/>
      <c r="K1" s="49"/>
      <c r="L1" s="49"/>
      <c r="M1" s="49"/>
      <c r="N1" s="49"/>
      <c r="O1" s="49"/>
      <c r="P1" s="49"/>
      <c r="Q1" s="3"/>
      <c r="R1" s="3"/>
    </row>
    <row r="2" spans="1:21" x14ac:dyDescent="0.2">
      <c r="A2" s="4" t="s">
        <v>99</v>
      </c>
      <c r="B2" s="4" t="s">
        <v>80</v>
      </c>
      <c r="C2" s="4" t="s">
        <v>81</v>
      </c>
      <c r="D2" s="4" t="s">
        <v>82</v>
      </c>
      <c r="E2" s="4" t="s">
        <v>103</v>
      </c>
      <c r="F2" s="4" t="s">
        <v>104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  <c r="N2" s="4" t="s">
        <v>105</v>
      </c>
      <c r="O2" s="4" t="s">
        <v>106</v>
      </c>
      <c r="P2" s="4" t="s">
        <v>107</v>
      </c>
      <c r="Q2" s="25" t="s">
        <v>117</v>
      </c>
      <c r="R2" s="25" t="s">
        <v>118</v>
      </c>
      <c r="S2" s="25" t="s">
        <v>115</v>
      </c>
      <c r="T2" s="27"/>
      <c r="U2" s="25" t="s">
        <v>116</v>
      </c>
    </row>
    <row r="3" spans="1:21" x14ac:dyDescent="0.2">
      <c r="A3" s="4" t="s">
        <v>90</v>
      </c>
      <c r="B3" s="6">
        <v>1</v>
      </c>
      <c r="C3" s="6"/>
      <c r="D3" s="6"/>
      <c r="E3" s="6"/>
      <c r="F3" s="6"/>
      <c r="G3" s="6">
        <v>1</v>
      </c>
      <c r="H3" s="6"/>
      <c r="I3" s="6"/>
      <c r="J3" s="6"/>
      <c r="K3" s="6"/>
      <c r="L3" s="6"/>
      <c r="M3" s="6"/>
      <c r="N3" s="6"/>
      <c r="O3" s="6"/>
      <c r="P3" s="6"/>
      <c r="Q3" s="9">
        <f t="shared" ref="Q3:Q14" si="0">SUMPRODUCT(B3:F3,$B$16:$F$16)</f>
        <v>2</v>
      </c>
      <c r="R3" s="9">
        <f>SUMPRODUCT(G3:P3,$G$16:$P$16)</f>
        <v>1</v>
      </c>
      <c r="S3" s="6">
        <f t="shared" ref="S3:S14" si="1">SUMPRODUCT(B3:P3,$B$16:$P$16)</f>
        <v>3</v>
      </c>
      <c r="T3" s="6" t="s">
        <v>114</v>
      </c>
      <c r="U3" s="6">
        <v>3</v>
      </c>
    </row>
    <row r="4" spans="1:21" x14ac:dyDescent="0.2">
      <c r="A4" s="4" t="s">
        <v>91</v>
      </c>
      <c r="B4" s="6">
        <v>1</v>
      </c>
      <c r="C4" s="6">
        <v>1</v>
      </c>
      <c r="D4" s="6"/>
      <c r="E4" s="6"/>
      <c r="F4" s="6"/>
      <c r="G4" s="6">
        <v>1</v>
      </c>
      <c r="H4" s="6">
        <v>1</v>
      </c>
      <c r="I4" s="6"/>
      <c r="J4" s="6"/>
      <c r="K4" s="6"/>
      <c r="L4" s="6"/>
      <c r="M4" s="6"/>
      <c r="N4" s="6"/>
      <c r="O4" s="6"/>
      <c r="P4" s="6"/>
      <c r="Q4" s="9">
        <f t="shared" si="0"/>
        <v>2</v>
      </c>
      <c r="R4" s="9">
        <f t="shared" ref="R4:R14" si="2">SUMPRODUCT(G4:P4,$G$16:$P$16)</f>
        <v>1</v>
      </c>
      <c r="S4" s="6">
        <f t="shared" si="1"/>
        <v>3</v>
      </c>
      <c r="T4" s="6" t="s">
        <v>114</v>
      </c>
      <c r="U4" s="6">
        <v>3</v>
      </c>
    </row>
    <row r="5" spans="1:21" x14ac:dyDescent="0.2">
      <c r="A5" s="4" t="s">
        <v>92</v>
      </c>
      <c r="B5" s="6">
        <v>1</v>
      </c>
      <c r="C5" s="6">
        <v>1</v>
      </c>
      <c r="D5" s="6">
        <v>1</v>
      </c>
      <c r="E5" s="6"/>
      <c r="F5" s="6"/>
      <c r="G5" s="6">
        <v>1</v>
      </c>
      <c r="H5" s="6">
        <v>1</v>
      </c>
      <c r="I5" s="6">
        <v>1</v>
      </c>
      <c r="J5" s="6"/>
      <c r="K5" s="6"/>
      <c r="L5" s="6"/>
      <c r="M5" s="6"/>
      <c r="N5" s="6"/>
      <c r="O5" s="6"/>
      <c r="P5" s="6"/>
      <c r="Q5" s="9">
        <f t="shared" si="0"/>
        <v>3</v>
      </c>
      <c r="R5" s="9">
        <f t="shared" si="2"/>
        <v>2</v>
      </c>
      <c r="S5" s="6">
        <f t="shared" si="1"/>
        <v>5</v>
      </c>
      <c r="T5" s="6" t="s">
        <v>114</v>
      </c>
      <c r="U5" s="6">
        <v>5</v>
      </c>
    </row>
    <row r="6" spans="1:21" x14ac:dyDescent="0.2">
      <c r="A6" s="4" t="s">
        <v>93</v>
      </c>
      <c r="B6" s="6">
        <v>1</v>
      </c>
      <c r="C6" s="6">
        <v>1</v>
      </c>
      <c r="D6" s="6">
        <v>1</v>
      </c>
      <c r="E6" s="6">
        <v>1</v>
      </c>
      <c r="F6" s="6"/>
      <c r="G6" s="6"/>
      <c r="H6" s="6">
        <v>1</v>
      </c>
      <c r="I6" s="6">
        <v>1</v>
      </c>
      <c r="J6" s="6">
        <v>1</v>
      </c>
      <c r="K6" s="6"/>
      <c r="L6" s="6"/>
      <c r="M6" s="6"/>
      <c r="N6" s="6"/>
      <c r="O6" s="6"/>
      <c r="P6" s="6"/>
      <c r="Q6" s="9">
        <f t="shared" si="0"/>
        <v>4</v>
      </c>
      <c r="R6" s="9">
        <f t="shared" si="2"/>
        <v>1</v>
      </c>
      <c r="S6" s="6">
        <f t="shared" si="1"/>
        <v>5</v>
      </c>
      <c r="T6" s="6" t="s">
        <v>114</v>
      </c>
      <c r="U6" s="6">
        <v>5</v>
      </c>
    </row>
    <row r="7" spans="1:21" x14ac:dyDescent="0.2">
      <c r="A7" s="4" t="s">
        <v>94</v>
      </c>
      <c r="B7" s="6"/>
      <c r="C7" s="6">
        <v>1</v>
      </c>
      <c r="D7" s="6">
        <v>1</v>
      </c>
      <c r="E7" s="6">
        <v>1</v>
      </c>
      <c r="F7" s="6">
        <v>1</v>
      </c>
      <c r="G7" s="6"/>
      <c r="H7" s="6"/>
      <c r="I7" s="6">
        <v>1</v>
      </c>
      <c r="J7" s="6">
        <v>1</v>
      </c>
      <c r="K7" s="6">
        <v>1</v>
      </c>
      <c r="L7" s="6"/>
      <c r="M7" s="6"/>
      <c r="N7" s="6"/>
      <c r="O7" s="6"/>
      <c r="P7" s="6"/>
      <c r="Q7" s="9">
        <f t="shared" si="0"/>
        <v>4</v>
      </c>
      <c r="R7" s="9">
        <f t="shared" si="2"/>
        <v>1</v>
      </c>
      <c r="S7" s="6">
        <f t="shared" si="1"/>
        <v>5</v>
      </c>
      <c r="T7" s="6" t="s">
        <v>114</v>
      </c>
      <c r="U7" s="6">
        <v>5</v>
      </c>
    </row>
    <row r="8" spans="1:21" x14ac:dyDescent="0.2">
      <c r="A8" s="4" t="s">
        <v>95</v>
      </c>
      <c r="B8" s="6">
        <v>1</v>
      </c>
      <c r="C8" s="6"/>
      <c r="D8" s="6">
        <v>1</v>
      </c>
      <c r="E8" s="6">
        <v>1</v>
      </c>
      <c r="F8" s="6">
        <v>1</v>
      </c>
      <c r="G8" s="6"/>
      <c r="H8" s="6"/>
      <c r="I8" s="6"/>
      <c r="J8" s="6">
        <v>1</v>
      </c>
      <c r="K8" s="6">
        <v>1</v>
      </c>
      <c r="L8" s="6">
        <v>1</v>
      </c>
      <c r="M8" s="6"/>
      <c r="N8" s="6"/>
      <c r="O8" s="6"/>
      <c r="P8" s="6"/>
      <c r="Q8" s="9">
        <f t="shared" si="0"/>
        <v>6</v>
      </c>
      <c r="R8" s="9">
        <f t="shared" si="2"/>
        <v>0</v>
      </c>
      <c r="S8" s="6">
        <f t="shared" si="1"/>
        <v>6</v>
      </c>
      <c r="T8" s="6" t="s">
        <v>114</v>
      </c>
      <c r="U8" s="6">
        <v>3</v>
      </c>
    </row>
    <row r="9" spans="1:21" x14ac:dyDescent="0.2">
      <c r="A9" s="4" t="s">
        <v>96</v>
      </c>
      <c r="B9" s="6">
        <v>1</v>
      </c>
      <c r="C9" s="6">
        <v>1</v>
      </c>
      <c r="D9" s="6"/>
      <c r="E9" s="6">
        <v>1</v>
      </c>
      <c r="F9" s="6">
        <v>1</v>
      </c>
      <c r="G9" s="6"/>
      <c r="H9" s="6"/>
      <c r="I9" s="6"/>
      <c r="J9" s="6"/>
      <c r="K9" s="6">
        <v>1</v>
      </c>
      <c r="L9" s="6">
        <v>1</v>
      </c>
      <c r="M9" s="6">
        <v>1</v>
      </c>
      <c r="N9" s="6"/>
      <c r="O9" s="6"/>
      <c r="P9" s="6"/>
      <c r="Q9" s="9">
        <f t="shared" si="0"/>
        <v>5</v>
      </c>
      <c r="R9" s="9">
        <f t="shared" si="2"/>
        <v>0</v>
      </c>
      <c r="S9" s="6">
        <f t="shared" si="1"/>
        <v>5</v>
      </c>
      <c r="T9" s="6" t="s">
        <v>114</v>
      </c>
      <c r="U9" s="6">
        <v>3</v>
      </c>
    </row>
    <row r="10" spans="1:21" x14ac:dyDescent="0.2">
      <c r="A10" s="4" t="s">
        <v>97</v>
      </c>
      <c r="B10" s="6">
        <v>1</v>
      </c>
      <c r="C10" s="6">
        <v>1</v>
      </c>
      <c r="D10" s="6">
        <v>1</v>
      </c>
      <c r="E10" s="6"/>
      <c r="F10" s="6">
        <v>1</v>
      </c>
      <c r="G10" s="6"/>
      <c r="H10" s="6"/>
      <c r="I10" s="6"/>
      <c r="J10" s="6"/>
      <c r="K10" s="6"/>
      <c r="L10" s="6">
        <v>1</v>
      </c>
      <c r="M10" s="6">
        <v>1</v>
      </c>
      <c r="N10" s="6">
        <v>1</v>
      </c>
      <c r="O10" s="6"/>
      <c r="P10" s="6"/>
      <c r="Q10" s="9">
        <f t="shared" si="0"/>
        <v>5</v>
      </c>
      <c r="R10" s="9">
        <f t="shared" si="2"/>
        <v>0</v>
      </c>
      <c r="S10" s="6">
        <f t="shared" si="1"/>
        <v>5</v>
      </c>
      <c r="T10" s="6" t="s">
        <v>114</v>
      </c>
      <c r="U10" s="6">
        <v>3</v>
      </c>
    </row>
    <row r="11" spans="1:21" x14ac:dyDescent="0.2">
      <c r="A11" s="4" t="s">
        <v>98</v>
      </c>
      <c r="B11" s="6"/>
      <c r="C11" s="6">
        <v>1</v>
      </c>
      <c r="D11" s="6">
        <v>1</v>
      </c>
      <c r="E11" s="6">
        <v>1</v>
      </c>
      <c r="F11" s="6"/>
      <c r="G11" s="6"/>
      <c r="H11" s="6"/>
      <c r="I11" s="6"/>
      <c r="J11" s="6"/>
      <c r="K11" s="6"/>
      <c r="L11" s="6"/>
      <c r="M11" s="6">
        <v>1</v>
      </c>
      <c r="N11" s="6">
        <v>1</v>
      </c>
      <c r="O11" s="6">
        <v>1</v>
      </c>
      <c r="P11" s="6"/>
      <c r="Q11" s="9">
        <f t="shared" si="0"/>
        <v>2</v>
      </c>
      <c r="R11" s="9">
        <f t="shared" si="2"/>
        <v>1</v>
      </c>
      <c r="S11" s="6">
        <f t="shared" si="1"/>
        <v>3</v>
      </c>
      <c r="T11" s="6" t="s">
        <v>114</v>
      </c>
      <c r="U11" s="6">
        <v>3</v>
      </c>
    </row>
    <row r="12" spans="1:21" x14ac:dyDescent="0.2">
      <c r="A12" s="4" t="s">
        <v>100</v>
      </c>
      <c r="B12" s="6"/>
      <c r="C12" s="6"/>
      <c r="D12" s="6">
        <v>1</v>
      </c>
      <c r="E12" s="6">
        <v>1</v>
      </c>
      <c r="F12" s="6">
        <v>1</v>
      </c>
      <c r="G12" s="6"/>
      <c r="H12" s="6"/>
      <c r="I12" s="6"/>
      <c r="J12" s="6"/>
      <c r="K12" s="6"/>
      <c r="L12" s="6"/>
      <c r="M12" s="6"/>
      <c r="N12" s="6">
        <v>1</v>
      </c>
      <c r="O12" s="6">
        <v>1</v>
      </c>
      <c r="P12" s="6">
        <v>1</v>
      </c>
      <c r="Q12" s="9">
        <f t="shared" si="0"/>
        <v>4</v>
      </c>
      <c r="R12" s="9">
        <f t="shared" si="2"/>
        <v>2</v>
      </c>
      <c r="S12" s="6">
        <f t="shared" si="1"/>
        <v>6</v>
      </c>
      <c r="T12" s="6" t="s">
        <v>114</v>
      </c>
      <c r="U12" s="6">
        <v>3</v>
      </c>
    </row>
    <row r="13" spans="1:21" x14ac:dyDescent="0.2">
      <c r="A13" s="4" t="s">
        <v>102</v>
      </c>
      <c r="B13" s="6"/>
      <c r="C13" s="6"/>
      <c r="D13" s="6"/>
      <c r="E13" s="6">
        <v>1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>
        <v>1</v>
      </c>
      <c r="P13" s="6">
        <v>1</v>
      </c>
      <c r="Q13" s="9">
        <f t="shared" si="0"/>
        <v>3</v>
      </c>
      <c r="R13" s="9">
        <f t="shared" si="2"/>
        <v>2</v>
      </c>
      <c r="S13" s="6">
        <f t="shared" si="1"/>
        <v>5</v>
      </c>
      <c r="T13" s="6" t="s">
        <v>114</v>
      </c>
      <c r="U13" s="6">
        <v>3</v>
      </c>
    </row>
    <row r="14" spans="1:21" x14ac:dyDescent="0.2">
      <c r="A14" s="4" t="s">
        <v>101</v>
      </c>
      <c r="B14" s="6"/>
      <c r="C14" s="6"/>
      <c r="D14" s="6"/>
      <c r="E14" s="6"/>
      <c r="F14" s="6">
        <v>1</v>
      </c>
      <c r="G14" s="6"/>
      <c r="H14" s="6"/>
      <c r="I14" s="6"/>
      <c r="J14" s="6"/>
      <c r="K14" s="6"/>
      <c r="L14" s="6"/>
      <c r="M14" s="6"/>
      <c r="N14" s="6"/>
      <c r="O14" s="6"/>
      <c r="P14" s="6">
        <v>1</v>
      </c>
      <c r="Q14" s="9">
        <f t="shared" si="0"/>
        <v>2</v>
      </c>
      <c r="R14" s="9">
        <f t="shared" si="2"/>
        <v>1</v>
      </c>
      <c r="S14" s="6">
        <f t="shared" si="1"/>
        <v>3</v>
      </c>
      <c r="T14" s="6" t="s">
        <v>114</v>
      </c>
      <c r="U14" s="6">
        <v>3</v>
      </c>
    </row>
    <row r="16" spans="1:21" x14ac:dyDescent="0.2">
      <c r="A16" s="4" t="s">
        <v>46</v>
      </c>
      <c r="B16" s="6">
        <v>2</v>
      </c>
      <c r="C16" s="6">
        <v>0</v>
      </c>
      <c r="D16" s="6">
        <v>1</v>
      </c>
      <c r="E16" s="6">
        <v>1</v>
      </c>
      <c r="F16" s="6">
        <v>2</v>
      </c>
      <c r="G16" s="6">
        <v>1</v>
      </c>
      <c r="H16" s="6">
        <v>0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1</v>
      </c>
    </row>
    <row r="17" spans="1:16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s="26" t="s">
        <v>110</v>
      </c>
      <c r="B18" s="9">
        <f>(40*7)*SUM(B16:F16)+(25*3)*SUM(G16:P16)</f>
        <v>1980</v>
      </c>
    </row>
    <row r="20" spans="1:16" x14ac:dyDescent="0.2">
      <c r="A20" s="57" t="s">
        <v>109</v>
      </c>
      <c r="B20" s="57"/>
      <c r="C20" s="57"/>
      <c r="D20" s="57"/>
    </row>
    <row r="21" spans="1:16" x14ac:dyDescent="0.2">
      <c r="A21" s="6" t="s">
        <v>111</v>
      </c>
      <c r="B21" s="6">
        <f>SUM($B$16:$F$16)</f>
        <v>6</v>
      </c>
      <c r="C21" s="6" t="s">
        <v>114</v>
      </c>
      <c r="D21" s="6">
        <v>4</v>
      </c>
    </row>
    <row r="22" spans="1:16" x14ac:dyDescent="0.2">
      <c r="A22" s="6" t="s">
        <v>111</v>
      </c>
      <c r="B22" s="6">
        <f>SUM($B$16:$F$16)</f>
        <v>6</v>
      </c>
      <c r="C22" s="6" t="s">
        <v>113</v>
      </c>
      <c r="D22" s="6">
        <v>10</v>
      </c>
    </row>
    <row r="23" spans="1:16" x14ac:dyDescent="0.2">
      <c r="A23" s="6" t="s">
        <v>112</v>
      </c>
      <c r="B23" s="6">
        <f>SUM(G16:P16)</f>
        <v>4</v>
      </c>
      <c r="C23" s="6" t="s">
        <v>113</v>
      </c>
      <c r="D23" s="6">
        <v>10</v>
      </c>
    </row>
  </sheetData>
  <mergeCells count="2">
    <mergeCell ref="G1:P1"/>
    <mergeCell ref="A20:D20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FE7F-4EC0-3B42-BD66-010FFC28093D}">
  <dimension ref="A1:T23"/>
  <sheetViews>
    <sheetView zoomScale="75" zoomScaleNormal="75" workbookViewId="0">
      <selection activeCell="A16" sqref="A16:O16"/>
    </sheetView>
  </sheetViews>
  <sheetFormatPr baseColWidth="10" defaultRowHeight="16" x14ac:dyDescent="0.2"/>
  <cols>
    <col min="18" max="18" width="17" customWidth="1"/>
    <col min="19" max="19" width="6.33203125" customWidth="1"/>
    <col min="20" max="20" width="16.33203125" customWidth="1"/>
  </cols>
  <sheetData>
    <row r="1" spans="1:20" x14ac:dyDescent="0.2">
      <c r="G1" s="49" t="s">
        <v>119</v>
      </c>
      <c r="H1" s="49"/>
      <c r="I1" s="49"/>
      <c r="J1" s="49"/>
      <c r="K1" s="49"/>
      <c r="L1" s="49"/>
      <c r="M1" s="49"/>
      <c r="N1" s="49"/>
      <c r="O1" s="49"/>
      <c r="P1" s="8"/>
      <c r="Q1" s="3"/>
      <c r="R1" s="3"/>
    </row>
    <row r="2" spans="1:20" x14ac:dyDescent="0.2">
      <c r="A2" s="4" t="s">
        <v>99</v>
      </c>
      <c r="B2" s="4" t="s">
        <v>80</v>
      </c>
      <c r="C2" s="4" t="s">
        <v>81</v>
      </c>
      <c r="D2" s="4" t="s">
        <v>82</v>
      </c>
      <c r="E2" s="4" t="s">
        <v>103</v>
      </c>
      <c r="F2" s="4" t="s">
        <v>104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  <c r="N2" s="4" t="s">
        <v>105</v>
      </c>
      <c r="O2" s="4" t="s">
        <v>106</v>
      </c>
      <c r="P2" s="25" t="s">
        <v>117</v>
      </c>
      <c r="Q2" s="25" t="s">
        <v>118</v>
      </c>
      <c r="R2" s="25" t="s">
        <v>115</v>
      </c>
      <c r="S2" s="27"/>
      <c r="T2" s="25" t="s">
        <v>116</v>
      </c>
    </row>
    <row r="3" spans="1:20" x14ac:dyDescent="0.2">
      <c r="A3" s="4" t="s">
        <v>90</v>
      </c>
      <c r="B3" s="6">
        <v>1</v>
      </c>
      <c r="C3" s="6"/>
      <c r="D3" s="6"/>
      <c r="E3" s="6"/>
      <c r="F3" s="6"/>
      <c r="G3" s="6">
        <v>1</v>
      </c>
      <c r="H3" s="6"/>
      <c r="I3" s="6"/>
      <c r="J3" s="6"/>
      <c r="K3" s="6"/>
      <c r="L3" s="6"/>
      <c r="M3" s="6"/>
      <c r="N3" s="6"/>
      <c r="O3" s="6"/>
      <c r="P3" s="9">
        <f>SUMPRODUCT(B3:F3,$B$16:$F$16)</f>
        <v>2</v>
      </c>
      <c r="Q3" s="9">
        <f>SUMPRODUCT(G3:O3,$G$16:$O$16)</f>
        <v>1</v>
      </c>
      <c r="R3" s="6">
        <f t="shared" ref="R3:R14" si="0">SUMPRODUCT(B3:O3,$B$16:$O$16)</f>
        <v>3</v>
      </c>
      <c r="S3" s="6" t="s">
        <v>114</v>
      </c>
      <c r="T3" s="6">
        <v>3</v>
      </c>
    </row>
    <row r="4" spans="1:20" x14ac:dyDescent="0.2">
      <c r="A4" s="4" t="s">
        <v>91</v>
      </c>
      <c r="B4" s="6">
        <v>1</v>
      </c>
      <c r="C4" s="6">
        <v>1</v>
      </c>
      <c r="D4" s="6"/>
      <c r="E4" s="6"/>
      <c r="F4" s="6"/>
      <c r="G4" s="6">
        <v>1</v>
      </c>
      <c r="H4" s="6">
        <v>1</v>
      </c>
      <c r="I4" s="6"/>
      <c r="J4" s="6"/>
      <c r="K4" s="6"/>
      <c r="L4" s="6"/>
      <c r="M4" s="6"/>
      <c r="N4" s="6"/>
      <c r="O4" s="6"/>
      <c r="P4" s="9">
        <f t="shared" ref="P4:P14" si="1">SUMPRODUCT(B4:F4,$B$16:$F$16)</f>
        <v>3</v>
      </c>
      <c r="Q4" s="9">
        <f t="shared" ref="Q4:Q14" si="2">SUMPRODUCT(G4:O4,$G$16:$O$16)</f>
        <v>2</v>
      </c>
      <c r="R4" s="6">
        <f t="shared" si="0"/>
        <v>5</v>
      </c>
      <c r="S4" s="6" t="s">
        <v>114</v>
      </c>
      <c r="T4" s="6">
        <v>3</v>
      </c>
    </row>
    <row r="5" spans="1:20" x14ac:dyDescent="0.2">
      <c r="A5" s="4" t="s">
        <v>92</v>
      </c>
      <c r="B5" s="6">
        <v>1</v>
      </c>
      <c r="C5" s="6">
        <v>1</v>
      </c>
      <c r="D5" s="6">
        <v>1</v>
      </c>
      <c r="E5" s="6"/>
      <c r="F5" s="6"/>
      <c r="G5" s="6">
        <v>1</v>
      </c>
      <c r="H5" s="6">
        <v>1</v>
      </c>
      <c r="I5" s="6">
        <v>1</v>
      </c>
      <c r="J5" s="6"/>
      <c r="K5" s="6"/>
      <c r="L5" s="6"/>
      <c r="M5" s="6"/>
      <c r="N5" s="6"/>
      <c r="O5" s="6"/>
      <c r="P5" s="9">
        <f t="shared" si="1"/>
        <v>3</v>
      </c>
      <c r="Q5" s="9">
        <f t="shared" si="2"/>
        <v>2</v>
      </c>
      <c r="R5" s="6">
        <f t="shared" si="0"/>
        <v>5</v>
      </c>
      <c r="S5" s="6" t="s">
        <v>114</v>
      </c>
      <c r="T5" s="6">
        <v>5</v>
      </c>
    </row>
    <row r="6" spans="1:20" x14ac:dyDescent="0.2">
      <c r="A6" s="4" t="s">
        <v>93</v>
      </c>
      <c r="B6" s="6">
        <v>1</v>
      </c>
      <c r="C6" s="6">
        <v>1</v>
      </c>
      <c r="D6" s="6">
        <v>1</v>
      </c>
      <c r="E6" s="6">
        <v>1</v>
      </c>
      <c r="F6" s="6"/>
      <c r="G6" s="6">
        <v>1</v>
      </c>
      <c r="H6" s="6">
        <v>1</v>
      </c>
      <c r="I6" s="6">
        <v>1</v>
      </c>
      <c r="J6" s="6">
        <v>1</v>
      </c>
      <c r="K6" s="6"/>
      <c r="L6" s="6"/>
      <c r="M6" s="6"/>
      <c r="N6" s="6"/>
      <c r="O6" s="6"/>
      <c r="P6" s="9">
        <f t="shared" si="1"/>
        <v>4</v>
      </c>
      <c r="Q6" s="9">
        <f t="shared" si="2"/>
        <v>2</v>
      </c>
      <c r="R6" s="6">
        <f t="shared" si="0"/>
        <v>6</v>
      </c>
      <c r="S6" s="6" t="s">
        <v>114</v>
      </c>
      <c r="T6" s="6">
        <v>5</v>
      </c>
    </row>
    <row r="7" spans="1:20" x14ac:dyDescent="0.2">
      <c r="A7" s="4" t="s">
        <v>94</v>
      </c>
      <c r="B7" s="6"/>
      <c r="C7" s="6">
        <v>1</v>
      </c>
      <c r="D7" s="6">
        <v>1</v>
      </c>
      <c r="E7" s="6">
        <v>1</v>
      </c>
      <c r="F7" s="6">
        <v>1</v>
      </c>
      <c r="G7" s="6"/>
      <c r="H7" s="6">
        <v>1</v>
      </c>
      <c r="I7" s="6">
        <v>1</v>
      </c>
      <c r="J7" s="6">
        <v>1</v>
      </c>
      <c r="K7" s="6">
        <v>1</v>
      </c>
      <c r="L7" s="6"/>
      <c r="M7" s="6"/>
      <c r="N7" s="6"/>
      <c r="O7" s="6"/>
      <c r="P7" s="9">
        <f t="shared" si="1"/>
        <v>4</v>
      </c>
      <c r="Q7" s="9">
        <f t="shared" si="2"/>
        <v>1</v>
      </c>
      <c r="R7" s="6">
        <f t="shared" si="0"/>
        <v>5</v>
      </c>
      <c r="S7" s="6" t="s">
        <v>114</v>
      </c>
      <c r="T7" s="6">
        <v>5</v>
      </c>
    </row>
    <row r="8" spans="1:20" x14ac:dyDescent="0.2">
      <c r="A8" s="4" t="s">
        <v>95</v>
      </c>
      <c r="B8" s="6">
        <v>1</v>
      </c>
      <c r="C8" s="6"/>
      <c r="D8" s="6">
        <v>1</v>
      </c>
      <c r="E8" s="6">
        <v>1</v>
      </c>
      <c r="F8" s="6">
        <v>1</v>
      </c>
      <c r="G8" s="6"/>
      <c r="H8" s="6"/>
      <c r="I8" s="6">
        <v>1</v>
      </c>
      <c r="J8" s="6">
        <v>1</v>
      </c>
      <c r="K8" s="6">
        <v>1</v>
      </c>
      <c r="L8" s="6">
        <v>1</v>
      </c>
      <c r="M8" s="6"/>
      <c r="N8" s="6"/>
      <c r="O8" s="6"/>
      <c r="P8" s="9">
        <f t="shared" si="1"/>
        <v>5</v>
      </c>
      <c r="Q8" s="9">
        <f t="shared" si="2"/>
        <v>0</v>
      </c>
      <c r="R8" s="6">
        <f t="shared" si="0"/>
        <v>5</v>
      </c>
      <c r="S8" s="6" t="s">
        <v>114</v>
      </c>
      <c r="T8" s="6">
        <v>3</v>
      </c>
    </row>
    <row r="9" spans="1:20" x14ac:dyDescent="0.2">
      <c r="A9" s="4" t="s">
        <v>96</v>
      </c>
      <c r="B9" s="6">
        <v>1</v>
      </c>
      <c r="C9" s="6">
        <v>1</v>
      </c>
      <c r="D9" s="6"/>
      <c r="E9" s="6">
        <v>1</v>
      </c>
      <c r="F9" s="6">
        <v>1</v>
      </c>
      <c r="G9" s="6"/>
      <c r="H9" s="6"/>
      <c r="I9" s="6"/>
      <c r="J9" s="6">
        <v>1</v>
      </c>
      <c r="K9" s="6">
        <v>1</v>
      </c>
      <c r="L9" s="6">
        <v>1</v>
      </c>
      <c r="M9" s="6">
        <v>1</v>
      </c>
      <c r="N9" s="6"/>
      <c r="O9" s="6"/>
      <c r="P9" s="9">
        <f t="shared" si="1"/>
        <v>6</v>
      </c>
      <c r="Q9" s="9">
        <f t="shared" si="2"/>
        <v>0</v>
      </c>
      <c r="R9" s="6">
        <f t="shared" si="0"/>
        <v>6</v>
      </c>
      <c r="S9" s="6" t="s">
        <v>114</v>
      </c>
      <c r="T9" s="6">
        <v>3</v>
      </c>
    </row>
    <row r="10" spans="1:20" x14ac:dyDescent="0.2">
      <c r="A10" s="4" t="s">
        <v>97</v>
      </c>
      <c r="B10" s="6">
        <v>1</v>
      </c>
      <c r="C10" s="6">
        <v>1</v>
      </c>
      <c r="D10" s="6">
        <v>1</v>
      </c>
      <c r="E10" s="6"/>
      <c r="F10" s="6">
        <v>1</v>
      </c>
      <c r="G10" s="6"/>
      <c r="H10" s="6"/>
      <c r="I10" s="6"/>
      <c r="J10" s="6"/>
      <c r="K10" s="6">
        <v>1</v>
      </c>
      <c r="L10" s="6">
        <v>1</v>
      </c>
      <c r="M10" s="6">
        <v>1</v>
      </c>
      <c r="N10" s="6">
        <v>1</v>
      </c>
      <c r="O10" s="6"/>
      <c r="P10" s="9">
        <f t="shared" si="1"/>
        <v>5</v>
      </c>
      <c r="Q10" s="9">
        <f t="shared" si="2"/>
        <v>0</v>
      </c>
      <c r="R10" s="6">
        <f t="shared" si="0"/>
        <v>5</v>
      </c>
      <c r="S10" s="6" t="s">
        <v>114</v>
      </c>
      <c r="T10" s="6">
        <v>3</v>
      </c>
    </row>
    <row r="11" spans="1:20" x14ac:dyDescent="0.2">
      <c r="A11" s="4" t="s">
        <v>98</v>
      </c>
      <c r="B11" s="6"/>
      <c r="C11" s="6">
        <v>1</v>
      </c>
      <c r="D11" s="6">
        <v>1</v>
      </c>
      <c r="E11" s="6">
        <v>1</v>
      </c>
      <c r="F11" s="6"/>
      <c r="G11" s="6"/>
      <c r="H11" s="6"/>
      <c r="I11" s="6"/>
      <c r="J11" s="6"/>
      <c r="K11" s="6"/>
      <c r="L11" s="6">
        <v>1</v>
      </c>
      <c r="M11" s="6">
        <v>1</v>
      </c>
      <c r="N11" s="6">
        <v>1</v>
      </c>
      <c r="O11" s="6">
        <v>1</v>
      </c>
      <c r="P11" s="9">
        <f t="shared" si="1"/>
        <v>2</v>
      </c>
      <c r="Q11" s="9">
        <f t="shared" si="2"/>
        <v>1</v>
      </c>
      <c r="R11" s="6">
        <f t="shared" si="0"/>
        <v>3</v>
      </c>
      <c r="S11" s="6" t="s">
        <v>114</v>
      </c>
      <c r="T11" s="6">
        <v>3</v>
      </c>
    </row>
    <row r="12" spans="1:20" x14ac:dyDescent="0.2">
      <c r="A12" s="4" t="s">
        <v>100</v>
      </c>
      <c r="B12" s="6"/>
      <c r="C12" s="6"/>
      <c r="D12" s="6">
        <v>1</v>
      </c>
      <c r="E12" s="6">
        <v>1</v>
      </c>
      <c r="F12" s="6">
        <v>1</v>
      </c>
      <c r="G12" s="6"/>
      <c r="H12" s="6"/>
      <c r="I12" s="6"/>
      <c r="J12" s="6"/>
      <c r="K12" s="6"/>
      <c r="L12" s="6"/>
      <c r="M12" s="6">
        <v>1</v>
      </c>
      <c r="N12" s="6">
        <v>1</v>
      </c>
      <c r="O12" s="6">
        <v>1</v>
      </c>
      <c r="P12" s="9">
        <f t="shared" si="1"/>
        <v>3</v>
      </c>
      <c r="Q12" s="9">
        <f t="shared" si="2"/>
        <v>1</v>
      </c>
      <c r="R12" s="6">
        <f t="shared" si="0"/>
        <v>4</v>
      </c>
      <c r="S12" s="6" t="s">
        <v>114</v>
      </c>
      <c r="T12" s="6">
        <v>3</v>
      </c>
    </row>
    <row r="13" spans="1:20" x14ac:dyDescent="0.2">
      <c r="A13" s="4" t="s">
        <v>102</v>
      </c>
      <c r="B13" s="6"/>
      <c r="C13" s="6"/>
      <c r="D13" s="6"/>
      <c r="E13" s="6">
        <v>1</v>
      </c>
      <c r="F13" s="6">
        <v>1</v>
      </c>
      <c r="G13" s="6"/>
      <c r="H13" s="6"/>
      <c r="I13" s="6"/>
      <c r="J13" s="6"/>
      <c r="K13" s="6"/>
      <c r="L13" s="6"/>
      <c r="M13" s="6"/>
      <c r="N13" s="6">
        <v>1</v>
      </c>
      <c r="O13" s="6">
        <v>1</v>
      </c>
      <c r="P13" s="9">
        <f t="shared" si="1"/>
        <v>3</v>
      </c>
      <c r="Q13" s="9">
        <f t="shared" si="2"/>
        <v>1</v>
      </c>
      <c r="R13" s="6">
        <f t="shared" si="0"/>
        <v>4</v>
      </c>
      <c r="S13" s="6" t="s">
        <v>114</v>
      </c>
      <c r="T13" s="6">
        <v>3</v>
      </c>
    </row>
    <row r="14" spans="1:20" x14ac:dyDescent="0.2">
      <c r="A14" s="4" t="s">
        <v>101</v>
      </c>
      <c r="B14" s="6"/>
      <c r="C14" s="6"/>
      <c r="D14" s="6"/>
      <c r="E14" s="6"/>
      <c r="F14" s="6">
        <v>1</v>
      </c>
      <c r="G14" s="6"/>
      <c r="H14" s="6"/>
      <c r="I14" s="6"/>
      <c r="J14" s="6"/>
      <c r="K14" s="6"/>
      <c r="L14" s="6"/>
      <c r="M14" s="6"/>
      <c r="N14" s="6"/>
      <c r="O14" s="6">
        <v>1</v>
      </c>
      <c r="P14" s="9">
        <f t="shared" si="1"/>
        <v>2</v>
      </c>
      <c r="Q14" s="9">
        <f t="shared" si="2"/>
        <v>1</v>
      </c>
      <c r="R14" s="6">
        <f t="shared" si="0"/>
        <v>3</v>
      </c>
      <c r="S14" s="6" t="s">
        <v>114</v>
      </c>
      <c r="T14" s="6">
        <v>3</v>
      </c>
    </row>
    <row r="16" spans="1:20" x14ac:dyDescent="0.2">
      <c r="A16" s="4" t="s">
        <v>46</v>
      </c>
      <c r="B16" s="6">
        <v>2</v>
      </c>
      <c r="C16" s="6">
        <v>1</v>
      </c>
      <c r="D16" s="6">
        <v>0</v>
      </c>
      <c r="E16" s="6">
        <v>1</v>
      </c>
      <c r="F16" s="6">
        <v>2</v>
      </c>
      <c r="G16" s="6">
        <v>1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28">
        <v>1</v>
      </c>
      <c r="P16" s="29"/>
    </row>
    <row r="17" spans="1:16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s="26" t="s">
        <v>110</v>
      </c>
      <c r="B18" s="9">
        <f>(40*7)*SUM(B16:F16)+(25*4)*SUM(G16:O16)</f>
        <v>1980</v>
      </c>
    </row>
    <row r="20" spans="1:16" x14ac:dyDescent="0.2">
      <c r="A20" s="57" t="s">
        <v>109</v>
      </c>
      <c r="B20" s="57"/>
      <c r="C20" s="57"/>
      <c r="D20" s="57"/>
    </row>
    <row r="21" spans="1:16" x14ac:dyDescent="0.2">
      <c r="A21" s="6" t="s">
        <v>111</v>
      </c>
      <c r="B21" s="6">
        <f>SUM('B1(a1)'!$B$16:$F$16)</f>
        <v>6</v>
      </c>
      <c r="C21" s="6" t="s">
        <v>114</v>
      </c>
      <c r="D21" s="6">
        <v>4</v>
      </c>
    </row>
    <row r="22" spans="1:16" x14ac:dyDescent="0.2">
      <c r="A22" s="6" t="s">
        <v>111</v>
      </c>
      <c r="B22" s="6">
        <f>SUM('B1(a1)'!$B$16:$F$16)</f>
        <v>6</v>
      </c>
      <c r="C22" s="6" t="s">
        <v>113</v>
      </c>
      <c r="D22" s="6">
        <v>10</v>
      </c>
    </row>
    <row r="23" spans="1:16" x14ac:dyDescent="0.2">
      <c r="A23" s="6" t="s">
        <v>112</v>
      </c>
      <c r="B23" s="6">
        <f>SUM(G16:P16)</f>
        <v>3</v>
      </c>
      <c r="C23" s="6" t="s">
        <v>113</v>
      </c>
      <c r="D23" s="6">
        <v>10</v>
      </c>
    </row>
  </sheetData>
  <mergeCells count="2">
    <mergeCell ref="A20:D20"/>
    <mergeCell ref="G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C279-0A23-A144-A5B8-0FC39CEDC149}">
  <dimension ref="A1:J33"/>
  <sheetViews>
    <sheetView zoomScale="75" workbookViewId="0">
      <selection activeCell="J4" sqref="J4"/>
    </sheetView>
  </sheetViews>
  <sheetFormatPr baseColWidth="10" defaultRowHeight="16" x14ac:dyDescent="0.2"/>
  <cols>
    <col min="1" max="1" width="17.33203125" customWidth="1"/>
    <col min="2" max="2" width="35" style="32" customWidth="1"/>
    <col min="3" max="3" width="26" style="32" customWidth="1"/>
    <col min="4" max="4" width="35.5" style="32" customWidth="1"/>
    <col min="5" max="5" width="21.6640625" style="33" customWidth="1"/>
    <col min="6" max="6" width="21.5" customWidth="1"/>
    <col min="9" max="9" width="21.6640625" customWidth="1"/>
  </cols>
  <sheetData>
    <row r="1" spans="1:10" x14ac:dyDescent="0.2">
      <c r="A1" s="5" t="s">
        <v>120</v>
      </c>
      <c r="B1" s="37" t="s">
        <v>121</v>
      </c>
      <c r="C1" s="37" t="s">
        <v>122</v>
      </c>
      <c r="D1" s="37" t="s">
        <v>123</v>
      </c>
      <c r="E1" s="38" t="s">
        <v>124</v>
      </c>
      <c r="F1" s="37" t="s">
        <v>127</v>
      </c>
    </row>
    <row r="2" spans="1:10" x14ac:dyDescent="0.2">
      <c r="A2" s="34">
        <v>1</v>
      </c>
      <c r="B2" s="35">
        <v>45995.78125</v>
      </c>
      <c r="C2" s="35">
        <v>45995.78125</v>
      </c>
      <c r="D2" s="35">
        <v>45995.783333333333</v>
      </c>
      <c r="E2" s="36"/>
      <c r="F2" s="36">
        <f>D2-C2</f>
        <v>2.0833333328482695E-3</v>
      </c>
    </row>
    <row r="3" spans="1:10" x14ac:dyDescent="0.2">
      <c r="A3" s="34">
        <v>2</v>
      </c>
      <c r="B3" s="35">
        <v>45995.781944444447</v>
      </c>
      <c r="C3" s="35">
        <v>45995.783333333333</v>
      </c>
      <c r="D3" s="35">
        <v>45995.786111111112</v>
      </c>
      <c r="E3" s="36">
        <f>(B3-B2)</f>
        <v>6.944444467080757E-4</v>
      </c>
      <c r="F3" s="36">
        <f t="shared" ref="F3:F31" si="0">D3-C3</f>
        <v>2.7777777795563452E-3</v>
      </c>
      <c r="I3" s="39" t="s">
        <v>125</v>
      </c>
      <c r="J3" s="36">
        <f>MIN(E:E)</f>
        <v>0</v>
      </c>
    </row>
    <row r="4" spans="1:10" x14ac:dyDescent="0.2">
      <c r="A4" s="34">
        <v>6</v>
      </c>
      <c r="B4" s="35">
        <v>45995.784722222219</v>
      </c>
      <c r="C4" s="35">
        <v>45995.785416666666</v>
      </c>
      <c r="D4" s="35">
        <v>45995.793055555558</v>
      </c>
      <c r="E4" s="36">
        <f t="shared" ref="E4:E31" si="1">(B4-B3)</f>
        <v>2.7777777722803876E-3</v>
      </c>
      <c r="F4" s="36">
        <f t="shared" si="0"/>
        <v>7.6388888919609599E-3</v>
      </c>
      <c r="I4" s="27" t="s">
        <v>126</v>
      </c>
      <c r="J4" s="36">
        <f>MAX(E:E)</f>
        <v>1.5972222223354038E-2</v>
      </c>
    </row>
    <row r="5" spans="1:10" x14ac:dyDescent="0.2">
      <c r="A5" s="34">
        <v>3</v>
      </c>
      <c r="B5" s="35">
        <v>45995.785416666666</v>
      </c>
      <c r="C5" s="35">
        <v>45995.786805555559</v>
      </c>
      <c r="D5" s="35">
        <v>45995.791666666664</v>
      </c>
      <c r="E5" s="36">
        <f t="shared" si="1"/>
        <v>6.944444467080757E-4</v>
      </c>
      <c r="F5" s="36">
        <f t="shared" si="0"/>
        <v>4.8611111051286571E-3</v>
      </c>
      <c r="I5" s="27" t="s">
        <v>128</v>
      </c>
      <c r="J5" s="36">
        <f>AVERAGE(F2:F31)</f>
        <v>3.5185185181035193E-3</v>
      </c>
    </row>
    <row r="6" spans="1:10" x14ac:dyDescent="0.2">
      <c r="A6" s="34">
        <v>4</v>
      </c>
      <c r="B6" s="35">
        <v>45995.786111111112</v>
      </c>
      <c r="C6" s="35">
        <v>45995.788888888892</v>
      </c>
      <c r="D6" s="35">
        <v>45995.791666666664</v>
      </c>
      <c r="E6" s="36">
        <f t="shared" si="1"/>
        <v>6.944444467080757E-4</v>
      </c>
      <c r="F6" s="36">
        <f t="shared" si="0"/>
        <v>2.7777777722803876E-3</v>
      </c>
      <c r="I6" s="27" t="s">
        <v>129</v>
      </c>
      <c r="J6" s="36">
        <f>_xlfn.STDEV.S(F2:F31)</f>
        <v>1.5141473710519021E-3</v>
      </c>
    </row>
    <row r="7" spans="1:10" x14ac:dyDescent="0.2">
      <c r="A7" s="34">
        <v>5</v>
      </c>
      <c r="B7" s="35">
        <v>45995.790277777778</v>
      </c>
      <c r="C7" s="35">
        <v>45995.790277777778</v>
      </c>
      <c r="D7" s="35">
        <v>45995.793749999997</v>
      </c>
      <c r="E7" s="36">
        <f t="shared" si="1"/>
        <v>4.166666665696539E-3</v>
      </c>
      <c r="F7" s="36">
        <f t="shared" si="0"/>
        <v>3.4722222189884633E-3</v>
      </c>
    </row>
    <row r="8" spans="1:10" x14ac:dyDescent="0.2">
      <c r="A8" s="34">
        <v>7</v>
      </c>
      <c r="B8" s="35">
        <v>45995.800694444442</v>
      </c>
      <c r="C8" s="35">
        <v>45995.800694444442</v>
      </c>
      <c r="D8" s="35">
        <v>45995.802083333336</v>
      </c>
      <c r="E8" s="36">
        <f t="shared" si="1"/>
        <v>1.0416666664241347E-2</v>
      </c>
      <c r="F8" s="36">
        <f t="shared" si="0"/>
        <v>1.3888888934161514E-3</v>
      </c>
    </row>
    <row r="9" spans="1:10" x14ac:dyDescent="0.2">
      <c r="A9" s="34">
        <v>8</v>
      </c>
      <c r="B9" s="35">
        <v>45995.802777777775</v>
      </c>
      <c r="C9" s="35">
        <v>45995.802777777775</v>
      </c>
      <c r="D9" s="35">
        <v>45995.803472222222</v>
      </c>
      <c r="E9" s="36">
        <f t="shared" si="1"/>
        <v>2.0833333328482695E-3</v>
      </c>
      <c r="F9" s="36">
        <f t="shared" si="0"/>
        <v>6.944444467080757E-4</v>
      </c>
    </row>
    <row r="10" spans="1:10" x14ac:dyDescent="0.2">
      <c r="A10" s="34">
        <v>9</v>
      </c>
      <c r="B10" s="35">
        <v>45995.805555555555</v>
      </c>
      <c r="C10" s="35">
        <v>45995.805555555555</v>
      </c>
      <c r="D10" s="35">
        <v>45995.807638888888</v>
      </c>
      <c r="E10" s="36">
        <f t="shared" si="1"/>
        <v>2.7777777795563452E-3</v>
      </c>
      <c r="F10" s="36">
        <f t="shared" si="0"/>
        <v>2.0833333328482695E-3</v>
      </c>
    </row>
    <row r="11" spans="1:10" x14ac:dyDescent="0.2">
      <c r="A11" s="34">
        <v>10</v>
      </c>
      <c r="B11" s="35">
        <v>45995.806250000001</v>
      </c>
      <c r="C11" s="35">
        <v>45995.806250000001</v>
      </c>
      <c r="D11" s="35">
        <v>45995.808333333334</v>
      </c>
      <c r="E11" s="36">
        <f t="shared" si="1"/>
        <v>6.944444467080757E-4</v>
      </c>
      <c r="F11" s="36">
        <f t="shared" si="0"/>
        <v>2.0833333328482695E-3</v>
      </c>
    </row>
    <row r="12" spans="1:10" x14ac:dyDescent="0.2">
      <c r="A12" s="34">
        <v>11</v>
      </c>
      <c r="B12" s="35">
        <v>45995.806250000001</v>
      </c>
      <c r="C12" s="35">
        <v>45995.806250000001</v>
      </c>
      <c r="D12" s="35">
        <v>45995.808333333334</v>
      </c>
      <c r="E12" s="36">
        <f t="shared" si="1"/>
        <v>0</v>
      </c>
      <c r="F12" s="36">
        <f t="shared" si="0"/>
        <v>2.0833333328482695E-3</v>
      </c>
    </row>
    <row r="13" spans="1:10" x14ac:dyDescent="0.2">
      <c r="A13" s="34">
        <v>12</v>
      </c>
      <c r="B13" s="35">
        <v>45995.810416666667</v>
      </c>
      <c r="C13" s="35">
        <v>45995.810416666667</v>
      </c>
      <c r="D13" s="35">
        <v>45995.813194444447</v>
      </c>
      <c r="E13" s="36">
        <f t="shared" si="1"/>
        <v>4.166666665696539E-3</v>
      </c>
      <c r="F13" s="36">
        <f t="shared" si="0"/>
        <v>2.7777777795563452E-3</v>
      </c>
    </row>
    <row r="14" spans="1:10" x14ac:dyDescent="0.2">
      <c r="A14" s="34">
        <v>13</v>
      </c>
      <c r="B14" s="35">
        <v>45995.813194444447</v>
      </c>
      <c r="C14" s="35">
        <v>45995.813194444447</v>
      </c>
      <c r="D14" s="35">
        <v>45995.815972222219</v>
      </c>
      <c r="E14" s="36">
        <f t="shared" si="1"/>
        <v>2.7777777795563452E-3</v>
      </c>
      <c r="F14" s="36">
        <f t="shared" si="0"/>
        <v>2.7777777722803876E-3</v>
      </c>
    </row>
    <row r="15" spans="1:10" x14ac:dyDescent="0.2">
      <c r="A15" s="34">
        <v>14</v>
      </c>
      <c r="B15" s="35">
        <v>45995.82708333333</v>
      </c>
      <c r="C15" s="35">
        <v>45995.82708333333</v>
      </c>
      <c r="D15" s="35">
        <v>45995.833333333336</v>
      </c>
      <c r="E15" s="36">
        <f t="shared" si="1"/>
        <v>1.3888888883229811E-2</v>
      </c>
      <c r="F15" s="36">
        <f t="shared" si="0"/>
        <v>6.2500000058207661E-3</v>
      </c>
    </row>
    <row r="16" spans="1:10" x14ac:dyDescent="0.2">
      <c r="A16" s="34">
        <v>15</v>
      </c>
      <c r="B16" s="35">
        <v>45995.82916666667</v>
      </c>
      <c r="C16" s="35">
        <v>45995.82916666667</v>
      </c>
      <c r="D16" s="35">
        <v>45995.832638888889</v>
      </c>
      <c r="E16" s="36">
        <f t="shared" si="1"/>
        <v>2.0833333401242271E-3</v>
      </c>
      <c r="F16" s="36">
        <f t="shared" si="0"/>
        <v>3.4722222189884633E-3</v>
      </c>
    </row>
    <row r="17" spans="1:6" x14ac:dyDescent="0.2">
      <c r="A17" s="34">
        <v>16</v>
      </c>
      <c r="B17" s="35">
        <v>45995.829861111109</v>
      </c>
      <c r="C17" s="35">
        <v>45995.829861111109</v>
      </c>
      <c r="D17" s="35">
        <v>45995.834027777775</v>
      </c>
      <c r="E17" s="36">
        <f t="shared" si="1"/>
        <v>6.9444443943211809E-4</v>
      </c>
      <c r="F17" s="36">
        <f t="shared" si="0"/>
        <v>4.166666665696539E-3</v>
      </c>
    </row>
    <row r="18" spans="1:6" x14ac:dyDescent="0.2">
      <c r="A18" s="34">
        <v>17</v>
      </c>
      <c r="B18" s="35">
        <v>45995.832638888889</v>
      </c>
      <c r="C18" s="35">
        <v>45995.832638888889</v>
      </c>
      <c r="D18" s="35">
        <v>45995.836111111108</v>
      </c>
      <c r="E18" s="36">
        <f t="shared" si="1"/>
        <v>2.7777777795563452E-3</v>
      </c>
      <c r="F18" s="36">
        <f t="shared" si="0"/>
        <v>3.4722222189884633E-3</v>
      </c>
    </row>
    <row r="19" spans="1:6" x14ac:dyDescent="0.2">
      <c r="A19" s="34">
        <v>18</v>
      </c>
      <c r="B19" s="35">
        <v>45995.848611111112</v>
      </c>
      <c r="C19" s="35">
        <v>45995.848611111112</v>
      </c>
      <c r="D19" s="35">
        <v>45995.851388888892</v>
      </c>
      <c r="E19" s="36">
        <f t="shared" si="1"/>
        <v>1.5972222223354038E-2</v>
      </c>
      <c r="F19" s="36">
        <f t="shared" si="0"/>
        <v>2.7777777795563452E-3</v>
      </c>
    </row>
    <row r="20" spans="1:6" x14ac:dyDescent="0.2">
      <c r="A20" s="34">
        <v>19</v>
      </c>
      <c r="B20" s="35">
        <v>45995.851388888892</v>
      </c>
      <c r="C20" s="35">
        <v>45995.851388888892</v>
      </c>
      <c r="D20" s="35">
        <v>45995.855555555558</v>
      </c>
      <c r="E20" s="36">
        <f t="shared" si="1"/>
        <v>2.7777777795563452E-3</v>
      </c>
      <c r="F20" s="36">
        <f t="shared" si="0"/>
        <v>4.166666665696539E-3</v>
      </c>
    </row>
    <row r="21" spans="1:6" x14ac:dyDescent="0.2">
      <c r="A21" s="34">
        <v>20</v>
      </c>
      <c r="B21" s="35">
        <v>45995.852777777778</v>
      </c>
      <c r="C21" s="35">
        <v>45995.852777777778</v>
      </c>
      <c r="D21" s="35">
        <v>45995.854861111111</v>
      </c>
      <c r="E21" s="36">
        <f t="shared" si="1"/>
        <v>1.3888888861401938E-3</v>
      </c>
      <c r="F21" s="36">
        <f t="shared" si="0"/>
        <v>2.0833333328482695E-3</v>
      </c>
    </row>
    <row r="22" spans="1:6" x14ac:dyDescent="0.2">
      <c r="A22" s="34">
        <v>21</v>
      </c>
      <c r="B22" s="35">
        <v>45995.853472222225</v>
      </c>
      <c r="C22" s="35">
        <v>45995.853472222225</v>
      </c>
      <c r="D22" s="35">
        <v>45995.856944444444</v>
      </c>
      <c r="E22" s="36">
        <f t="shared" si="1"/>
        <v>6.944444467080757E-4</v>
      </c>
      <c r="F22" s="36">
        <f t="shared" si="0"/>
        <v>3.4722222189884633E-3</v>
      </c>
    </row>
    <row r="23" spans="1:6" x14ac:dyDescent="0.2">
      <c r="A23" s="34">
        <v>22</v>
      </c>
      <c r="B23" s="35">
        <v>45995.859027777777</v>
      </c>
      <c r="C23" s="35">
        <v>45995.859027777777</v>
      </c>
      <c r="D23" s="35">
        <v>45995.861805555556</v>
      </c>
      <c r="E23" s="36">
        <f t="shared" si="1"/>
        <v>5.5555555518367328E-3</v>
      </c>
      <c r="F23" s="36">
        <f t="shared" si="0"/>
        <v>2.7777777795563452E-3</v>
      </c>
    </row>
    <row r="24" spans="1:6" x14ac:dyDescent="0.2">
      <c r="A24" s="34">
        <v>23</v>
      </c>
      <c r="B24" s="35">
        <v>45995.868750000001</v>
      </c>
      <c r="C24" s="35">
        <v>45995.868750000001</v>
      </c>
      <c r="D24" s="35">
        <v>45995.872916666667</v>
      </c>
      <c r="E24" s="36">
        <f t="shared" si="1"/>
        <v>9.7222222248092294E-3</v>
      </c>
      <c r="F24" s="36">
        <f t="shared" si="0"/>
        <v>4.166666665696539E-3</v>
      </c>
    </row>
    <row r="25" spans="1:6" x14ac:dyDescent="0.2">
      <c r="A25" s="34">
        <v>24</v>
      </c>
      <c r="B25" s="35">
        <v>45995.868750000001</v>
      </c>
      <c r="C25" s="35">
        <v>45995.868750000001</v>
      </c>
      <c r="D25" s="35">
        <v>45995.873611111114</v>
      </c>
      <c r="E25" s="36">
        <f t="shared" si="1"/>
        <v>0</v>
      </c>
      <c r="F25" s="36">
        <f t="shared" si="0"/>
        <v>4.8611111124046147E-3</v>
      </c>
    </row>
    <row r="26" spans="1:6" x14ac:dyDescent="0.2">
      <c r="A26" s="34">
        <v>25</v>
      </c>
      <c r="B26" s="35">
        <v>45995.869444444441</v>
      </c>
      <c r="C26" s="35">
        <v>45995.869444444441</v>
      </c>
      <c r="D26" s="35">
        <v>45995.875</v>
      </c>
      <c r="E26" s="36">
        <f t="shared" si="1"/>
        <v>6.9444443943211809E-4</v>
      </c>
      <c r="F26" s="36">
        <f t="shared" si="0"/>
        <v>5.5555555591126904E-3</v>
      </c>
    </row>
    <row r="27" spans="1:6" x14ac:dyDescent="0.2">
      <c r="A27" s="34">
        <v>26</v>
      </c>
      <c r="B27" s="35">
        <v>45995.869444444441</v>
      </c>
      <c r="C27" s="35">
        <v>45995.869444444441</v>
      </c>
      <c r="D27" s="35">
        <v>45995.875</v>
      </c>
      <c r="E27" s="36">
        <f t="shared" si="1"/>
        <v>0</v>
      </c>
      <c r="F27" s="36">
        <f t="shared" si="0"/>
        <v>5.5555555591126904E-3</v>
      </c>
    </row>
    <row r="28" spans="1:6" x14ac:dyDescent="0.2">
      <c r="A28" s="34">
        <v>27</v>
      </c>
      <c r="B28" s="35">
        <v>45995.875694444447</v>
      </c>
      <c r="C28" s="35">
        <v>45995.875694444447</v>
      </c>
      <c r="D28" s="35">
        <v>45995.880555555559</v>
      </c>
      <c r="E28" s="36">
        <f t="shared" si="1"/>
        <v>6.2500000058207661E-3</v>
      </c>
      <c r="F28" s="36">
        <f t="shared" si="0"/>
        <v>4.8611111124046147E-3</v>
      </c>
    </row>
    <row r="29" spans="1:6" x14ac:dyDescent="0.2">
      <c r="A29" s="34">
        <v>28</v>
      </c>
      <c r="B29" s="35">
        <v>45995.886111111111</v>
      </c>
      <c r="C29" s="35">
        <v>45995.886805555558</v>
      </c>
      <c r="D29" s="35">
        <v>45995.88958333333</v>
      </c>
      <c r="E29" s="36">
        <f t="shared" si="1"/>
        <v>1.0416666664241347E-2</v>
      </c>
      <c r="F29" s="36">
        <f t="shared" si="0"/>
        <v>2.7777777722803876E-3</v>
      </c>
    </row>
    <row r="30" spans="1:6" x14ac:dyDescent="0.2">
      <c r="A30" s="34">
        <v>29</v>
      </c>
      <c r="B30" s="35">
        <v>45995.890972222223</v>
      </c>
      <c r="C30" s="35">
        <v>45995.890972222223</v>
      </c>
      <c r="D30" s="35">
        <v>45995.895138888889</v>
      </c>
      <c r="E30" s="36">
        <f t="shared" si="1"/>
        <v>4.8611111124046147E-3</v>
      </c>
      <c r="F30" s="36">
        <f t="shared" si="0"/>
        <v>4.166666665696539E-3</v>
      </c>
    </row>
    <row r="31" spans="1:6" x14ac:dyDescent="0.2">
      <c r="A31" s="34">
        <v>30</v>
      </c>
      <c r="B31" s="35">
        <v>45995.89166666667</v>
      </c>
      <c r="C31" s="35">
        <v>45995.89166666667</v>
      </c>
      <c r="D31" s="35">
        <v>45995.895138888889</v>
      </c>
      <c r="E31" s="36">
        <f t="shared" si="1"/>
        <v>6.944444467080757E-4</v>
      </c>
      <c r="F31" s="36">
        <f t="shared" si="0"/>
        <v>3.4722222189884633E-3</v>
      </c>
    </row>
    <row r="33" spans="1:4" x14ac:dyDescent="0.2">
      <c r="A33" s="30"/>
      <c r="B33" s="31"/>
      <c r="C33" s="31"/>
      <c r="D33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9887-BE2E-DD4A-BBA4-80B9933209DD}">
  <dimension ref="A1:S31"/>
  <sheetViews>
    <sheetView tabSelected="1" zoomScale="94" zoomScaleNormal="113" workbookViewId="0">
      <selection activeCell="P17" sqref="P17"/>
    </sheetView>
  </sheetViews>
  <sheetFormatPr baseColWidth="10" defaultRowHeight="16" x14ac:dyDescent="0.2"/>
  <cols>
    <col min="3" max="3" width="12.83203125" customWidth="1"/>
    <col min="7" max="7" width="16.83203125" customWidth="1"/>
    <col min="8" max="8" width="19.1640625" customWidth="1"/>
    <col min="9" max="9" width="15" customWidth="1"/>
    <col min="10" max="10" width="20.5" customWidth="1"/>
    <col min="11" max="11" width="41.33203125" customWidth="1"/>
    <col min="12" max="12" width="14.1640625" customWidth="1"/>
    <col min="13" max="13" width="17.83203125" customWidth="1"/>
    <col min="17" max="17" width="14.83203125" customWidth="1"/>
  </cols>
  <sheetData>
    <row r="1" spans="1:19" x14ac:dyDescent="0.2">
      <c r="A1" s="40" t="s">
        <v>135</v>
      </c>
      <c r="G1" s="9" t="s">
        <v>130</v>
      </c>
      <c r="H1" s="9" t="s">
        <v>131</v>
      </c>
      <c r="I1" s="9" t="s">
        <v>121</v>
      </c>
      <c r="J1" s="9" t="s">
        <v>122</v>
      </c>
      <c r="K1" s="9" t="s">
        <v>132</v>
      </c>
      <c r="L1" s="9" t="s">
        <v>133</v>
      </c>
      <c r="M1" s="9" t="s">
        <v>134</v>
      </c>
      <c r="N1" s="9" t="s">
        <v>24</v>
      </c>
    </row>
    <row r="2" spans="1:19" x14ac:dyDescent="0.2">
      <c r="A2" s="9" t="s">
        <v>136</v>
      </c>
      <c r="B2" s="41">
        <f>'B3'!J3</f>
        <v>0</v>
      </c>
      <c r="G2" s="9">
        <v>1</v>
      </c>
      <c r="H2" s="41">
        <f ca="1">$B$2+RAND()*($B$3-$B$2)</f>
        <v>9.6528693249749251E-3</v>
      </c>
      <c r="I2" s="42">
        <f ca="1">$B$22+H2</f>
        <v>0.59298620265830826</v>
      </c>
      <c r="J2" s="42">
        <f ca="1">I2</f>
        <v>0.59298620265830826</v>
      </c>
      <c r="K2" s="42">
        <f ca="1">_xlfn.NORM.INV(RAND(),$C$7,$C$8)</f>
        <v>5.3412127297487004E-3</v>
      </c>
      <c r="L2" s="42">
        <f ca="1">J2+K2</f>
        <v>0.598327415388057</v>
      </c>
      <c r="M2" s="9"/>
      <c r="N2" s="42">
        <f ca="1">L2-I2</f>
        <v>5.3412127297487455E-3</v>
      </c>
      <c r="Q2" s="62"/>
      <c r="S2" s="62"/>
    </row>
    <row r="3" spans="1:19" x14ac:dyDescent="0.2">
      <c r="A3" s="9" t="s">
        <v>137</v>
      </c>
      <c r="B3" s="41">
        <f>'B3'!J4</f>
        <v>1.5972222223354038E-2</v>
      </c>
      <c r="G3" s="9">
        <v>2</v>
      </c>
      <c r="H3" s="41">
        <f t="shared" ref="H3:H31" ca="1" si="0">$B$2+RAND()*($B$3-$B$2)</f>
        <v>7.0989496159178326E-3</v>
      </c>
      <c r="I3" s="42">
        <f ca="1">I2+H3</f>
        <v>0.6000851522742261</v>
      </c>
      <c r="J3" s="42">
        <f ca="1">IF(I3&gt;L2,I3,L2)</f>
        <v>0.6000851522742261</v>
      </c>
      <c r="K3" s="42">
        <f t="shared" ref="K3:K31" ca="1" si="1">_xlfn.NORM.INV(RAND(),$C$7,$C$8)</f>
        <v>4.8546623263158754E-3</v>
      </c>
      <c r="L3" s="42">
        <f t="shared" ref="L3:L31" ca="1" si="2">J3+K3</f>
        <v>0.60493981460054203</v>
      </c>
      <c r="M3" s="42">
        <f ca="1">J3-I3</f>
        <v>0</v>
      </c>
      <c r="N3" s="42">
        <f t="shared" ref="N3:N31" ca="1" si="3">L3-I3</f>
        <v>4.8546623263159283E-3</v>
      </c>
      <c r="Q3" s="62"/>
      <c r="S3" s="62"/>
    </row>
    <row r="4" spans="1:19" x14ac:dyDescent="0.2">
      <c r="G4" s="9">
        <v>3</v>
      </c>
      <c r="H4" s="41">
        <f ca="1">$B$2+RAND()*($B$3-$B$2)</f>
        <v>1.1560411164338471E-2</v>
      </c>
      <c r="I4" s="42">
        <f t="shared" ref="I4:I31" ca="1" si="4">I3+H4</f>
        <v>0.61164556343856458</v>
      </c>
      <c r="J4" s="42">
        <f t="shared" ref="J4:J30" ca="1" si="5">IF(I4&gt;L3,I4,L3)</f>
        <v>0.61164556343856458</v>
      </c>
      <c r="K4" s="42">
        <f t="shared" ca="1" si="1"/>
        <v>3.6007761578646228E-3</v>
      </c>
      <c r="L4" s="42">
        <f t="shared" ca="1" si="2"/>
        <v>0.61524633959642916</v>
      </c>
      <c r="M4" s="42">
        <f t="shared" ref="M4:M31" ca="1" si="6">J4-I4</f>
        <v>0</v>
      </c>
      <c r="N4" s="42">
        <f t="shared" ca="1" si="3"/>
        <v>3.6007761578645825E-3</v>
      </c>
      <c r="Q4" s="62"/>
      <c r="S4" s="62"/>
    </row>
    <row r="5" spans="1:19" x14ac:dyDescent="0.2">
      <c r="G5" s="9">
        <v>4</v>
      </c>
      <c r="H5" s="41">
        <f t="shared" ca="1" si="0"/>
        <v>4.4940748584492594E-3</v>
      </c>
      <c r="I5" s="42">
        <f t="shared" ca="1" si="4"/>
        <v>0.61613963829701379</v>
      </c>
      <c r="J5" s="42">
        <f t="shared" ca="1" si="5"/>
        <v>0.61613963829701379</v>
      </c>
      <c r="K5" s="42">
        <f t="shared" ca="1" si="1"/>
        <v>5.6863027934005144E-3</v>
      </c>
      <c r="L5" s="42">
        <f t="shared" ca="1" si="2"/>
        <v>0.62182594109041434</v>
      </c>
      <c r="M5" s="42">
        <f t="shared" ca="1" si="6"/>
        <v>0</v>
      </c>
      <c r="N5" s="42">
        <f t="shared" ca="1" si="3"/>
        <v>5.6863027934005439E-3</v>
      </c>
      <c r="Q5" s="62"/>
      <c r="S5" s="62"/>
    </row>
    <row r="6" spans="1:19" x14ac:dyDescent="0.2">
      <c r="A6" s="40" t="s">
        <v>138</v>
      </c>
      <c r="G6" s="9">
        <v>5</v>
      </c>
      <c r="H6" s="41">
        <f t="shared" ca="1" si="0"/>
        <v>1.2982397065572584E-2</v>
      </c>
      <c r="I6" s="42">
        <f t="shared" ca="1" si="4"/>
        <v>0.62912203536258637</v>
      </c>
      <c r="J6" s="42">
        <f t="shared" ca="1" si="5"/>
        <v>0.62912203536258637</v>
      </c>
      <c r="K6" s="42">
        <f t="shared" ca="1" si="1"/>
        <v>3.1371419299060918E-3</v>
      </c>
      <c r="L6" s="42">
        <f t="shared" ca="1" si="2"/>
        <v>0.63225917729249248</v>
      </c>
      <c r="M6" s="42">
        <f t="shared" ca="1" si="6"/>
        <v>0</v>
      </c>
      <c r="N6" s="42">
        <f t="shared" ca="1" si="3"/>
        <v>3.1371419299061065E-3</v>
      </c>
      <c r="Q6" s="62"/>
      <c r="S6" s="62"/>
    </row>
    <row r="7" spans="1:19" x14ac:dyDescent="0.2">
      <c r="A7" s="59" t="s">
        <v>139</v>
      </c>
      <c r="B7" s="60"/>
      <c r="C7" s="41">
        <f>'B3'!J5</f>
        <v>3.5185185181035193E-3</v>
      </c>
      <c r="G7" s="9">
        <v>6</v>
      </c>
      <c r="H7" s="41">
        <f t="shared" ca="1" si="0"/>
        <v>2.1915773731335242E-3</v>
      </c>
      <c r="I7" s="42">
        <f t="shared" ca="1" si="4"/>
        <v>0.63131361273571995</v>
      </c>
      <c r="J7" s="42">
        <f t="shared" ca="1" si="5"/>
        <v>0.63225917729249248</v>
      </c>
      <c r="K7" s="42">
        <f t="shared" ca="1" si="1"/>
        <v>5.6046843453595391E-3</v>
      </c>
      <c r="L7" s="42">
        <f t="shared" ca="1" si="2"/>
        <v>0.63786386163785203</v>
      </c>
      <c r="M7" s="42">
        <f t="shared" ca="1" si="6"/>
        <v>9.4556455677252682E-4</v>
      </c>
      <c r="N7" s="42">
        <f t="shared" ca="1" si="3"/>
        <v>6.550248902132072E-3</v>
      </c>
      <c r="Q7" s="62"/>
      <c r="S7" s="62"/>
    </row>
    <row r="8" spans="1:19" x14ac:dyDescent="0.2">
      <c r="A8" s="59" t="s">
        <v>140</v>
      </c>
      <c r="B8" s="60"/>
      <c r="C8" s="41">
        <f>'B3'!J6</f>
        <v>1.5141473710519021E-3</v>
      </c>
      <c r="G8" s="9">
        <v>7</v>
      </c>
      <c r="H8" s="41">
        <f t="shared" ca="1" si="0"/>
        <v>4.1331504130932614E-3</v>
      </c>
      <c r="I8" s="42">
        <f t="shared" ca="1" si="4"/>
        <v>0.63544676314881321</v>
      </c>
      <c r="J8" s="42">
        <f t="shared" ca="1" si="5"/>
        <v>0.63786386163785203</v>
      </c>
      <c r="K8" s="42">
        <f t="shared" ca="1" si="1"/>
        <v>6.9429764341436559E-3</v>
      </c>
      <c r="L8" s="42">
        <f t="shared" ca="1" si="2"/>
        <v>0.64480683807199568</v>
      </c>
      <c r="M8" s="42">
        <f t="shared" ca="1" si="6"/>
        <v>2.4170984890388159E-3</v>
      </c>
      <c r="N8" s="42">
        <f t="shared" ca="1" si="3"/>
        <v>9.3600749231824709E-3</v>
      </c>
      <c r="Q8" s="62"/>
      <c r="S8" s="62"/>
    </row>
    <row r="9" spans="1:19" x14ac:dyDescent="0.2">
      <c r="G9" s="9">
        <v>8</v>
      </c>
      <c r="H9" s="41">
        <f t="shared" ca="1" si="0"/>
        <v>1.4172941749884982E-2</v>
      </c>
      <c r="I9" s="42">
        <f t="shared" ca="1" si="4"/>
        <v>0.64961970489869825</v>
      </c>
      <c r="J9" s="42">
        <f t="shared" ca="1" si="5"/>
        <v>0.64961970489869825</v>
      </c>
      <c r="K9" s="42">
        <f t="shared" ca="1" si="1"/>
        <v>1.6141721735791785E-3</v>
      </c>
      <c r="L9" s="42">
        <f t="shared" ca="1" si="2"/>
        <v>0.65123387707227742</v>
      </c>
      <c r="M9" s="42">
        <f t="shared" ca="1" si="6"/>
        <v>0</v>
      </c>
      <c r="N9" s="42">
        <f t="shared" ca="1" si="3"/>
        <v>1.6141721735791759E-3</v>
      </c>
      <c r="Q9" s="62"/>
      <c r="S9" s="62"/>
    </row>
    <row r="10" spans="1:19" x14ac:dyDescent="0.2">
      <c r="A10" s="61" t="s">
        <v>145</v>
      </c>
      <c r="B10" s="61"/>
      <c r="C10" s="61"/>
      <c r="G10" s="9">
        <v>9</v>
      </c>
      <c r="H10" s="41">
        <f t="shared" ca="1" si="0"/>
        <v>1.3802658799625896E-2</v>
      </c>
      <c r="I10" s="42">
        <f t="shared" ca="1" si="4"/>
        <v>0.66342236369832419</v>
      </c>
      <c r="J10" s="42">
        <f t="shared" ca="1" si="5"/>
        <v>0.66342236369832419</v>
      </c>
      <c r="K10" s="42">
        <f t="shared" ca="1" si="1"/>
        <v>4.404156722181681E-3</v>
      </c>
      <c r="L10" s="42">
        <f t="shared" ca="1" si="2"/>
        <v>0.66782652042050583</v>
      </c>
      <c r="M10" s="42">
        <f t="shared" ca="1" si="6"/>
        <v>0</v>
      </c>
      <c r="N10" s="42">
        <f t="shared" ca="1" si="3"/>
        <v>4.4041567221816402E-3</v>
      </c>
      <c r="Q10" s="62"/>
      <c r="S10" s="62"/>
    </row>
    <row r="11" spans="1:19" x14ac:dyDescent="0.2">
      <c r="A11" s="58" t="s">
        <v>142</v>
      </c>
      <c r="B11" s="58"/>
      <c r="C11" s="58"/>
      <c r="D11" s="44">
        <f ca="1">AVERAGE(M2:M31)</f>
        <v>4.4276332954810646E-4</v>
      </c>
      <c r="G11" s="9">
        <v>10</v>
      </c>
      <c r="H11" s="41">
        <f t="shared" ca="1" si="0"/>
        <v>2.454742752188138E-4</v>
      </c>
      <c r="I11" s="42">
        <f t="shared" ca="1" si="4"/>
        <v>0.66366783797354301</v>
      </c>
      <c r="J11" s="42">
        <f t="shared" ca="1" si="5"/>
        <v>0.66782652042050583</v>
      </c>
      <c r="K11" s="42">
        <f t="shared" ca="1" si="1"/>
        <v>9.0939742642153105E-4</v>
      </c>
      <c r="L11" s="42">
        <f t="shared" ca="1" si="2"/>
        <v>0.66873591784692732</v>
      </c>
      <c r="M11" s="42">
        <f t="shared" ca="1" si="6"/>
        <v>4.1586824469628247E-3</v>
      </c>
      <c r="N11" s="42">
        <f t="shared" ca="1" si="3"/>
        <v>5.0680798733843124E-3</v>
      </c>
      <c r="Q11" s="62"/>
      <c r="S11" s="62"/>
    </row>
    <row r="12" spans="1:19" x14ac:dyDescent="0.2">
      <c r="A12" s="58" t="s">
        <v>143</v>
      </c>
      <c r="B12" s="58"/>
      <c r="C12" s="58"/>
      <c r="D12" s="44">
        <f ca="1">AVERAGE(K2:K31)</f>
        <v>3.8095124435029784E-3</v>
      </c>
      <c r="G12" s="9">
        <v>11</v>
      </c>
      <c r="H12" s="41">
        <f t="shared" ca="1" si="0"/>
        <v>1.2770574745717692E-2</v>
      </c>
      <c r="I12" s="42">
        <f t="shared" ca="1" si="4"/>
        <v>0.67643841271926075</v>
      </c>
      <c r="J12" s="42">
        <f t="shared" ca="1" si="5"/>
        <v>0.67643841271926075</v>
      </c>
      <c r="K12" s="42">
        <f t="shared" ca="1" si="1"/>
        <v>4.0404443828679533E-3</v>
      </c>
      <c r="L12" s="42">
        <f t="shared" ca="1" si="2"/>
        <v>0.68047885710212874</v>
      </c>
      <c r="M12" s="42">
        <f t="shared" ca="1" si="6"/>
        <v>0</v>
      </c>
      <c r="N12" s="42">
        <f t="shared" ca="1" si="3"/>
        <v>4.0404443828679915E-3</v>
      </c>
      <c r="Q12" s="62"/>
    </row>
    <row r="13" spans="1:19" x14ac:dyDescent="0.2">
      <c r="A13" s="58" t="s">
        <v>144</v>
      </c>
      <c r="B13" s="58"/>
      <c r="C13" s="58"/>
      <c r="D13" s="45">
        <f ca="1">COUNTIF(M2:M31,"&gt;0")/COUNT(M2:M31)</f>
        <v>0.20689655172413793</v>
      </c>
      <c r="G13" s="9">
        <v>12</v>
      </c>
      <c r="H13" s="41">
        <f t="shared" ca="1" si="0"/>
        <v>1.1441015993609695E-2</v>
      </c>
      <c r="I13" s="42">
        <f t="shared" ca="1" si="4"/>
        <v>0.68787942871287044</v>
      </c>
      <c r="J13" s="42">
        <f t="shared" ca="1" si="5"/>
        <v>0.68787942871287044</v>
      </c>
      <c r="K13" s="42">
        <f t="shared" ca="1" si="1"/>
        <v>4.6761471770099027E-3</v>
      </c>
      <c r="L13" s="42">
        <f t="shared" ca="1" si="2"/>
        <v>0.69255557588988037</v>
      </c>
      <c r="M13" s="42">
        <f t="shared" ca="1" si="6"/>
        <v>0</v>
      </c>
      <c r="N13" s="42">
        <f t="shared" ca="1" si="3"/>
        <v>4.6761471770099261E-3</v>
      </c>
    </row>
    <row r="14" spans="1:19" x14ac:dyDescent="0.2">
      <c r="A14" s="58" t="s">
        <v>146</v>
      </c>
      <c r="B14" s="58"/>
      <c r="C14" s="58"/>
      <c r="D14" s="44">
        <f ca="1">AVERAGE(H2:H31)</f>
        <v>9.3203606368567251E-3</v>
      </c>
      <c r="G14" s="9">
        <v>13</v>
      </c>
      <c r="H14" s="41">
        <f t="shared" ca="1" si="0"/>
        <v>3.9749397326851012E-3</v>
      </c>
      <c r="I14" s="42">
        <f t="shared" ca="1" si="4"/>
        <v>0.69185436844555559</v>
      </c>
      <c r="J14" s="42">
        <f t="shared" ca="1" si="5"/>
        <v>0.69255557588988037</v>
      </c>
      <c r="K14" s="42">
        <f t="shared" ca="1" si="1"/>
        <v>3.4858487357718629E-3</v>
      </c>
      <c r="L14" s="42">
        <f t="shared" ca="1" si="2"/>
        <v>0.69604142462565222</v>
      </c>
      <c r="M14" s="42">
        <f t="shared" ca="1" si="6"/>
        <v>7.0120744432478066E-4</v>
      </c>
      <c r="N14" s="42">
        <f t="shared" ca="1" si="3"/>
        <v>4.1870561800966266E-3</v>
      </c>
    </row>
    <row r="15" spans="1:19" x14ac:dyDescent="0.2">
      <c r="A15" s="58" t="s">
        <v>147</v>
      </c>
      <c r="B15" s="58"/>
      <c r="C15" s="58"/>
      <c r="D15" s="44">
        <f ca="1">AVERAGEIF(M1:M31,"&gt;0")</f>
        <v>2.1400227594825147E-3</v>
      </c>
      <c r="G15" s="9">
        <v>14</v>
      </c>
      <c r="H15" s="41">
        <f t="shared" ca="1" si="0"/>
        <v>1.4278565066145251E-2</v>
      </c>
      <c r="I15" s="42">
        <f t="shared" ca="1" si="4"/>
        <v>0.70613293351170081</v>
      </c>
      <c r="J15" s="42">
        <f t="shared" ca="1" si="5"/>
        <v>0.70613293351170081</v>
      </c>
      <c r="K15" s="42">
        <f t="shared" ca="1" si="1"/>
        <v>2.9951688112845034E-3</v>
      </c>
      <c r="L15" s="42">
        <f t="shared" ca="1" si="2"/>
        <v>0.70912810232298529</v>
      </c>
      <c r="M15" s="42">
        <f t="shared" ca="1" si="6"/>
        <v>0</v>
      </c>
      <c r="N15" s="42">
        <f t="shared" ca="1" si="3"/>
        <v>2.9951688112844765E-3</v>
      </c>
    </row>
    <row r="16" spans="1:19" x14ac:dyDescent="0.2">
      <c r="A16" s="58" t="s">
        <v>148</v>
      </c>
      <c r="B16" s="58"/>
      <c r="C16" s="58"/>
      <c r="D16" s="44">
        <f ca="1">AVERAGE(N2:N31)</f>
        <v>4.2375169953994818E-3</v>
      </c>
      <c r="G16" s="9">
        <v>15</v>
      </c>
      <c r="H16" s="41">
        <f t="shared" ca="1" si="0"/>
        <v>1.5613205713618216E-2</v>
      </c>
      <c r="I16" s="42">
        <f t="shared" ca="1" si="4"/>
        <v>0.72174613922531905</v>
      </c>
      <c r="J16" s="42">
        <f t="shared" ca="1" si="5"/>
        <v>0.72174613922531905</v>
      </c>
      <c r="K16" s="42">
        <f t="shared" ca="1" si="1"/>
        <v>3.821178437543388E-3</v>
      </c>
      <c r="L16" s="42">
        <f t="shared" ca="1" si="2"/>
        <v>0.72556731766286242</v>
      </c>
      <c r="M16" s="42">
        <f t="shared" ca="1" si="6"/>
        <v>0</v>
      </c>
      <c r="N16" s="42">
        <f t="shared" ca="1" si="3"/>
        <v>3.8211784375433711E-3</v>
      </c>
    </row>
    <row r="17" spans="1:14" x14ac:dyDescent="0.2">
      <c r="G17" s="9">
        <v>16</v>
      </c>
      <c r="H17" s="41">
        <f t="shared" ca="1" si="0"/>
        <v>4.4915176640341935E-3</v>
      </c>
      <c r="I17" s="42">
        <f t="shared" ca="1" si="4"/>
        <v>0.72623765688935327</v>
      </c>
      <c r="J17" s="42">
        <f t="shared" ca="1" si="5"/>
        <v>0.72623765688935327</v>
      </c>
      <c r="K17" s="42">
        <f t="shared" ca="1" si="1"/>
        <v>7.8346145906680667E-3</v>
      </c>
      <c r="L17" s="42">
        <f t="shared" ca="1" si="2"/>
        <v>0.7340722714800213</v>
      </c>
      <c r="M17" s="42">
        <f t="shared" ca="1" si="6"/>
        <v>0</v>
      </c>
      <c r="N17" s="42">
        <f t="shared" ca="1" si="3"/>
        <v>7.834614590668032E-3</v>
      </c>
    </row>
    <row r="18" spans="1:14" x14ac:dyDescent="0.2">
      <c r="G18" s="9">
        <v>17</v>
      </c>
      <c r="H18" s="41">
        <f t="shared" ca="1" si="0"/>
        <v>1.2059091352869311E-2</v>
      </c>
      <c r="I18" s="42">
        <f t="shared" ca="1" si="4"/>
        <v>0.73829674824222258</v>
      </c>
      <c r="J18" s="42">
        <f t="shared" ca="1" si="5"/>
        <v>0.73829674824222258</v>
      </c>
      <c r="K18" s="42">
        <f t="shared" ca="1" si="1"/>
        <v>4.8782797595221476E-3</v>
      </c>
      <c r="L18" s="42">
        <f t="shared" ca="1" si="2"/>
        <v>0.74317502800174473</v>
      </c>
      <c r="M18" s="42">
        <f t="shared" ca="1" si="6"/>
        <v>0</v>
      </c>
      <c r="N18" s="42">
        <f t="shared" ca="1" si="3"/>
        <v>4.8782797595221528E-3</v>
      </c>
    </row>
    <row r="19" spans="1:14" x14ac:dyDescent="0.2">
      <c r="G19" s="9">
        <v>18</v>
      </c>
      <c r="H19" s="41">
        <f t="shared" ca="1" si="0"/>
        <v>4.4338039163446835E-4</v>
      </c>
      <c r="I19" s="42">
        <f t="shared" ca="1" si="4"/>
        <v>0.73874012863385707</v>
      </c>
      <c r="J19" s="42">
        <f t="shared" ca="1" si="5"/>
        <v>0.74317502800174473</v>
      </c>
      <c r="K19" s="42">
        <f t="shared" ca="1" si="1"/>
        <v>3.8049955946816176E-3</v>
      </c>
      <c r="L19" s="42">
        <f t="shared" ca="1" si="2"/>
        <v>0.74698002359642635</v>
      </c>
      <c r="M19" s="42">
        <f t="shared" ca="1" si="6"/>
        <v>4.4348993678876569E-3</v>
      </c>
      <c r="N19" s="42">
        <f t="shared" ca="1" si="3"/>
        <v>8.2398949625692719E-3</v>
      </c>
    </row>
    <row r="20" spans="1:14" x14ac:dyDescent="0.2">
      <c r="G20" s="9">
        <v>19</v>
      </c>
      <c r="H20" s="41">
        <f t="shared" ca="1" si="0"/>
        <v>1.4290296099598305E-2</v>
      </c>
      <c r="I20" s="42">
        <f t="shared" ca="1" si="4"/>
        <v>0.75303042473345538</v>
      </c>
      <c r="J20" s="42">
        <f t="shared" ca="1" si="5"/>
        <v>0.75303042473345538</v>
      </c>
      <c r="K20" s="42">
        <f t="shared" ca="1" si="1"/>
        <v>7.6978262111272342E-4</v>
      </c>
      <c r="L20" s="42">
        <f t="shared" ca="1" si="2"/>
        <v>0.7538002073545681</v>
      </c>
      <c r="M20" s="42">
        <f t="shared" ca="1" si="6"/>
        <v>0</v>
      </c>
      <c r="N20" s="42">
        <f t="shared" ca="1" si="3"/>
        <v>7.6978262111271345E-4</v>
      </c>
    </row>
    <row r="21" spans="1:14" x14ac:dyDescent="0.2">
      <c r="G21" s="9">
        <v>20</v>
      </c>
      <c r="H21" s="41">
        <f t="shared" ca="1" si="0"/>
        <v>1.260866529026271E-2</v>
      </c>
      <c r="I21" s="42">
        <f t="shared" ca="1" si="4"/>
        <v>0.76563909002371811</v>
      </c>
      <c r="J21" s="42">
        <f t="shared" ca="1" si="5"/>
        <v>0.76563909002371811</v>
      </c>
      <c r="K21" s="42">
        <f t="shared" ca="1" si="1"/>
        <v>4.6503276941832431E-3</v>
      </c>
      <c r="L21" s="42">
        <f t="shared" ca="1" si="2"/>
        <v>0.77028941771790138</v>
      </c>
      <c r="M21" s="42">
        <f t="shared" ca="1" si="6"/>
        <v>0</v>
      </c>
      <c r="N21" s="42">
        <f t="shared" ca="1" si="3"/>
        <v>4.6503276941832761E-3</v>
      </c>
    </row>
    <row r="22" spans="1:14" x14ac:dyDescent="0.2">
      <c r="A22" t="s">
        <v>141</v>
      </c>
      <c r="B22" s="43">
        <v>0.58333333333333337</v>
      </c>
      <c r="G22" s="9">
        <v>21</v>
      </c>
      <c r="H22" s="41">
        <f t="shared" ca="1" si="0"/>
        <v>1.0783971266361159E-2</v>
      </c>
      <c r="I22" s="42">
        <f t="shared" ca="1" si="4"/>
        <v>0.77642306129007932</v>
      </c>
      <c r="J22" s="42">
        <f t="shared" ca="1" si="5"/>
        <v>0.77642306129007932</v>
      </c>
      <c r="K22" s="42">
        <f t="shared" ca="1" si="1"/>
        <v>2.0166610208869548E-3</v>
      </c>
      <c r="L22" s="42">
        <f t="shared" ca="1" si="2"/>
        <v>0.77843972231096625</v>
      </c>
      <c r="M22" s="42">
        <f t="shared" ca="1" si="6"/>
        <v>0</v>
      </c>
      <c r="N22" s="42">
        <f t="shared" ca="1" si="3"/>
        <v>2.016661020886934E-3</v>
      </c>
    </row>
    <row r="23" spans="1:14" x14ac:dyDescent="0.2">
      <c r="G23" s="9">
        <v>22</v>
      </c>
      <c r="H23" s="41">
        <f t="shared" ca="1" si="0"/>
        <v>9.7346335714498869E-3</v>
      </c>
      <c r="I23" s="42">
        <f t="shared" ca="1" si="4"/>
        <v>0.7861576948615292</v>
      </c>
      <c r="J23" s="42">
        <f t="shared" ca="1" si="5"/>
        <v>0.7861576948615292</v>
      </c>
      <c r="K23" s="42">
        <f t="shared" ca="1" si="1"/>
        <v>3.7729486287765021E-3</v>
      </c>
      <c r="L23" s="42">
        <f t="shared" ca="1" si="2"/>
        <v>0.78993064349030573</v>
      </c>
      <c r="M23" s="42">
        <f t="shared" ca="1" si="6"/>
        <v>0</v>
      </c>
      <c r="N23" s="42">
        <f t="shared" ca="1" si="3"/>
        <v>3.772948628776529E-3</v>
      </c>
    </row>
    <row r="24" spans="1:14" x14ac:dyDescent="0.2">
      <c r="G24" s="9">
        <v>23</v>
      </c>
      <c r="H24" s="41">
        <f t="shared" ca="1" si="0"/>
        <v>1.3129687609839078E-2</v>
      </c>
      <c r="I24" s="42">
        <f t="shared" ca="1" si="4"/>
        <v>0.79928738247136832</v>
      </c>
      <c r="J24" s="42">
        <f t="shared" ca="1" si="5"/>
        <v>0.79928738247136832</v>
      </c>
      <c r="K24" s="42">
        <f t="shared" ca="1" si="1"/>
        <v>1.1189364259572895E-3</v>
      </c>
      <c r="L24" s="42">
        <f t="shared" ca="1" si="2"/>
        <v>0.80040631889732561</v>
      </c>
      <c r="M24" s="42">
        <f t="shared" ca="1" si="6"/>
        <v>0</v>
      </c>
      <c r="N24" s="42">
        <f t="shared" ca="1" si="3"/>
        <v>1.1189364259572843E-3</v>
      </c>
    </row>
    <row r="25" spans="1:14" x14ac:dyDescent="0.2">
      <c r="G25" s="9">
        <v>24</v>
      </c>
      <c r="H25" s="41">
        <f t="shared" ca="1" si="0"/>
        <v>1.1944742141598569E-2</v>
      </c>
      <c r="I25" s="42">
        <f t="shared" ca="1" si="4"/>
        <v>0.8112321246129669</v>
      </c>
      <c r="J25" s="42">
        <f t="shared" ca="1" si="5"/>
        <v>0.8112321246129669</v>
      </c>
      <c r="K25" s="42">
        <f t="shared" ca="1" si="1"/>
        <v>4.8765321925847323E-3</v>
      </c>
      <c r="L25" s="42">
        <f t="shared" ca="1" si="2"/>
        <v>0.81610865680555167</v>
      </c>
      <c r="M25" s="42">
        <f t="shared" ca="1" si="6"/>
        <v>0</v>
      </c>
      <c r="N25" s="42">
        <f t="shared" ca="1" si="3"/>
        <v>4.8765321925847704E-3</v>
      </c>
    </row>
    <row r="26" spans="1:14" x14ac:dyDescent="0.2">
      <c r="G26" s="9">
        <v>25</v>
      </c>
      <c r="H26" s="41">
        <f t="shared" ca="1" si="0"/>
        <v>5.1631208567884885E-3</v>
      </c>
      <c r="I26" s="42">
        <f t="shared" ca="1" si="4"/>
        <v>0.81639524546975539</v>
      </c>
      <c r="J26" s="42">
        <f t="shared" ca="1" si="5"/>
        <v>0.81639524546975539</v>
      </c>
      <c r="K26" s="42">
        <f t="shared" ca="1" si="1"/>
        <v>3.5235788096241263E-3</v>
      </c>
      <c r="L26" s="42">
        <f t="shared" ca="1" si="2"/>
        <v>0.81991882427937957</v>
      </c>
      <c r="M26" s="42">
        <f t="shared" ca="1" si="6"/>
        <v>0</v>
      </c>
      <c r="N26" s="42">
        <f t="shared" ca="1" si="3"/>
        <v>3.5235788096241727E-3</v>
      </c>
    </row>
    <row r="27" spans="1:14" x14ac:dyDescent="0.2">
      <c r="G27" s="9">
        <v>26</v>
      </c>
      <c r="H27" s="41">
        <f t="shared" ca="1" si="0"/>
        <v>1.4880322036583911E-2</v>
      </c>
      <c r="I27" s="42">
        <f t="shared" ca="1" si="4"/>
        <v>0.83127556750633935</v>
      </c>
      <c r="J27" s="42">
        <f t="shared" ca="1" si="5"/>
        <v>0.83127556750633935</v>
      </c>
      <c r="K27" s="42">
        <f t="shared" ca="1" si="1"/>
        <v>3.5881353631866198E-3</v>
      </c>
      <c r="L27" s="42">
        <f t="shared" ca="1" si="2"/>
        <v>0.83486370286952594</v>
      </c>
      <c r="M27" s="42">
        <f t="shared" ca="1" si="6"/>
        <v>0</v>
      </c>
      <c r="N27" s="42">
        <f t="shared" ca="1" si="3"/>
        <v>3.5881353631865842E-3</v>
      </c>
    </row>
    <row r="28" spans="1:14" x14ac:dyDescent="0.2">
      <c r="G28" s="9">
        <v>27</v>
      </c>
      <c r="H28" s="41">
        <f t="shared" ca="1" si="0"/>
        <v>1.0879910119607742E-2</v>
      </c>
      <c r="I28" s="42">
        <f t="shared" ca="1" si="4"/>
        <v>0.84215547762594711</v>
      </c>
      <c r="J28" s="42">
        <f t="shared" ca="1" si="5"/>
        <v>0.84215547762594711</v>
      </c>
      <c r="K28" s="42">
        <f t="shared" ca="1" si="1"/>
        <v>3.9690534834096805E-3</v>
      </c>
      <c r="L28" s="42">
        <f t="shared" ca="1" si="2"/>
        <v>0.84612453110935681</v>
      </c>
      <c r="M28" s="42">
        <f t="shared" ca="1" si="6"/>
        <v>0</v>
      </c>
      <c r="N28" s="42">
        <f t="shared" ca="1" si="3"/>
        <v>3.9690534834097013E-3</v>
      </c>
    </row>
    <row r="29" spans="1:14" x14ac:dyDescent="0.2">
      <c r="G29" s="9">
        <v>28</v>
      </c>
      <c r="H29" s="41">
        <f t="shared" ca="1" si="0"/>
        <v>6.8044127777145049E-3</v>
      </c>
      <c r="I29" s="42">
        <f t="shared" ca="1" si="4"/>
        <v>0.8489598904036616</v>
      </c>
      <c r="J29" s="42">
        <f t="shared" ca="1" si="5"/>
        <v>0.8489598904036616</v>
      </c>
      <c r="K29" s="42">
        <f t="shared" ca="1" si="1"/>
        <v>3.1612219281744718E-3</v>
      </c>
      <c r="L29" s="42">
        <f t="shared" ca="1" si="2"/>
        <v>0.85212111233183607</v>
      </c>
      <c r="M29" s="42">
        <f t="shared" ca="1" si="6"/>
        <v>0</v>
      </c>
      <c r="N29" s="42">
        <f t="shared" ca="1" si="3"/>
        <v>3.1612219281744736E-3</v>
      </c>
    </row>
    <row r="30" spans="1:14" x14ac:dyDescent="0.2">
      <c r="G30" s="9">
        <v>29</v>
      </c>
      <c r="H30" s="41">
        <f t="shared" ca="1" si="0"/>
        <v>2.97853767626604E-3</v>
      </c>
      <c r="I30" s="42">
        <f t="shared" ca="1" si="4"/>
        <v>0.85193842807992759</v>
      </c>
      <c r="J30" s="42">
        <f t="shared" ca="1" si="5"/>
        <v>0.85212111233183607</v>
      </c>
      <c r="K30" s="42">
        <f t="shared" ca="1" si="1"/>
        <v>3.1961625589603027E-3</v>
      </c>
      <c r="L30" s="42">
        <f t="shared" ca="1" si="2"/>
        <v>0.85531727489079634</v>
      </c>
      <c r="M30" s="42">
        <f t="shared" ca="1" si="6"/>
        <v>1.8268425190848259E-4</v>
      </c>
      <c r="N30" s="42">
        <f t="shared" ca="1" si="3"/>
        <v>3.3788468108687519E-3</v>
      </c>
    </row>
    <row r="31" spans="1:14" x14ac:dyDescent="0.2">
      <c r="G31" s="9">
        <v>30</v>
      </c>
      <c r="H31" s="41">
        <f t="shared" ca="1" si="0"/>
        <v>1.1005724359107853E-2</v>
      </c>
      <c r="I31" s="42">
        <f t="shared" ca="1" si="4"/>
        <v>0.86294415243903544</v>
      </c>
      <c r="J31" s="42">
        <f ca="1">IF(I31&gt;L30,I31,L30)</f>
        <v>0.86294415243903544</v>
      </c>
      <c r="K31" s="42">
        <f t="shared" ca="1" si="1"/>
        <v>2.0098720499618461E-3</v>
      </c>
      <c r="L31" s="42">
        <f t="shared" ca="1" si="2"/>
        <v>0.86495402448899728</v>
      </c>
      <c r="M31" s="42">
        <f t="shared" ca="1" si="6"/>
        <v>0</v>
      </c>
      <c r="N31" s="42">
        <f t="shared" ca="1" si="3"/>
        <v>2.0098720499618361E-3</v>
      </c>
    </row>
  </sheetData>
  <sortState xmlns:xlrd2="http://schemas.microsoft.com/office/spreadsheetml/2017/richdata2" ref="S2:S11">
    <sortCondition ref="S2"/>
  </sortState>
  <mergeCells count="9">
    <mergeCell ref="A16:C16"/>
    <mergeCell ref="A14:C14"/>
    <mergeCell ref="A15:C15"/>
    <mergeCell ref="A7:B7"/>
    <mergeCell ref="A8:B8"/>
    <mergeCell ref="A10:C10"/>
    <mergeCell ref="A11:C11"/>
    <mergeCell ref="A12:C12"/>
    <mergeCell ref="A13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A1(a)</vt:lpstr>
      <vt:lpstr>A1(b)</vt:lpstr>
      <vt:lpstr>A3(a)</vt:lpstr>
      <vt:lpstr>B1(a1)</vt:lpstr>
      <vt:lpstr>B1(a2)</vt:lpstr>
      <vt:lpstr>B3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ALI BUDULLAH</dc:creator>
  <cp:lastModifiedBy>MUHAMMAD YOUSUF ALI BUDULLAH</cp:lastModifiedBy>
  <dcterms:created xsi:type="dcterms:W3CDTF">2025-12-22T13:00:22Z</dcterms:created>
  <dcterms:modified xsi:type="dcterms:W3CDTF">2026-01-10T12:39:56Z</dcterms:modified>
</cp:coreProperties>
</file>